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stabrk\OneDrive\Desktop\Carbon Foot Print Course\Uncertainities reference\"/>
    </mc:Choice>
  </mc:AlternateContent>
  <xr:revisionPtr revIDLastSave="0" documentId="13_ncr:1_{892719D1-0F93-454B-96B4-B193756AC295}" xr6:coauthVersionLast="47" xr6:coauthVersionMax="47" xr10:uidLastSave="{00000000-0000-0000-0000-000000000000}"/>
  <bookViews>
    <workbookView xWindow="-108" yWindow="-108" windowWidth="23256" windowHeight="12456" xr2:uid="{00000000-000D-0000-FFFF-FFFF00000000}"/>
  </bookViews>
  <sheets>
    <sheet name="Activities" sheetId="1" r:id="rId1"/>
    <sheet name="Summary" sheetId="2" r:id="rId2"/>
    <sheet name="Lookups" sheetId="3" r:id="rId3"/>
    <sheet name="uncertainty_total" sheetId="4" r:id="rId4"/>
    <sheet name="uncertainty_Scope 1" sheetId="6" r:id="rId5"/>
    <sheet name="uncertainty_Scope 2" sheetId="5" r:id="rId6"/>
    <sheet name="uncertainty_Scope 3" sheetId="7" r:id="rId7"/>
  </sheets>
  <definedNames>
    <definedName name="_xlnm._FilterDatabase" localSheetId="0" hidden="1">Activities!$A$1:$R$1</definedName>
    <definedName name="AD_list">Lookups!$A$2:$A$22</definedName>
    <definedName name="EF_List">Lookups!$E$2:$E$22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7" l="1"/>
  <c r="F8" i="7"/>
  <c r="E8" i="7"/>
  <c r="D8" i="7"/>
  <c r="L8" i="7" s="1"/>
  <c r="C8" i="7"/>
  <c r="B8" i="7"/>
  <c r="A8" i="7"/>
  <c r="G7" i="7"/>
  <c r="F7" i="7"/>
  <c r="E7" i="7"/>
  <c r="D7" i="7"/>
  <c r="C7" i="7"/>
  <c r="B7" i="7"/>
  <c r="A7" i="7"/>
  <c r="G6" i="7"/>
  <c r="F6" i="7"/>
  <c r="H6" i="7" s="1"/>
  <c r="I6" i="7" s="1"/>
  <c r="E6" i="7"/>
  <c r="D6" i="7"/>
  <c r="C6" i="7"/>
  <c r="B6" i="7"/>
  <c r="J6" i="7" s="1"/>
  <c r="A6" i="7"/>
  <c r="G5" i="7"/>
  <c r="F5" i="7"/>
  <c r="E5" i="7"/>
  <c r="D5" i="7"/>
  <c r="L5" i="7" s="1"/>
  <c r="C5" i="7"/>
  <c r="B5" i="7"/>
  <c r="A5" i="7"/>
  <c r="G4" i="7"/>
  <c r="F4" i="7"/>
  <c r="E4" i="7"/>
  <c r="K4" i="7" s="1"/>
  <c r="D4" i="7"/>
  <c r="L4" i="7" s="1"/>
  <c r="C4" i="7"/>
  <c r="B4" i="7"/>
  <c r="A4" i="7"/>
  <c r="G3" i="7"/>
  <c r="F3" i="7"/>
  <c r="H3" i="7" s="1"/>
  <c r="I3" i="7" s="1"/>
  <c r="E3" i="7"/>
  <c r="K3" i="7" s="1"/>
  <c r="D3" i="7"/>
  <c r="C3" i="7"/>
  <c r="B3" i="7"/>
  <c r="J3" i="7" s="1"/>
  <c r="A3" i="7"/>
  <c r="G2" i="7"/>
  <c r="F2" i="7"/>
  <c r="H2" i="7" s="1"/>
  <c r="I2" i="7" s="1"/>
  <c r="E2" i="7"/>
  <c r="D2" i="7"/>
  <c r="C2" i="7"/>
  <c r="B2" i="7"/>
  <c r="J2" i="7" s="1"/>
  <c r="A2" i="7"/>
  <c r="G43" i="6"/>
  <c r="F43" i="6"/>
  <c r="E43" i="6"/>
  <c r="D43" i="6"/>
  <c r="L43" i="6" s="1"/>
  <c r="M43" i="6" s="1"/>
  <c r="C43" i="6"/>
  <c r="B43" i="6"/>
  <c r="H43" i="6" s="1"/>
  <c r="I43" i="6" s="1"/>
  <c r="A43" i="6"/>
  <c r="G42" i="6"/>
  <c r="F42" i="6"/>
  <c r="E42" i="6"/>
  <c r="D42" i="6"/>
  <c r="C42" i="6"/>
  <c r="B42" i="6"/>
  <c r="J42" i="6" s="1"/>
  <c r="A42" i="6"/>
  <c r="G41" i="6"/>
  <c r="F41" i="6"/>
  <c r="E41" i="6"/>
  <c r="K41" i="6" s="1"/>
  <c r="D41" i="6"/>
  <c r="C41" i="6"/>
  <c r="B41" i="6"/>
  <c r="J41" i="6" s="1"/>
  <c r="A41" i="6"/>
  <c r="G40" i="6"/>
  <c r="K40" i="6" s="1"/>
  <c r="F40" i="6"/>
  <c r="H40" i="6" s="1"/>
  <c r="I40" i="6" s="1"/>
  <c r="E40" i="6"/>
  <c r="D40" i="6"/>
  <c r="C40" i="6"/>
  <c r="B40" i="6"/>
  <c r="J40" i="6" s="1"/>
  <c r="A40" i="6"/>
  <c r="G39" i="6"/>
  <c r="F39" i="6"/>
  <c r="E39" i="6"/>
  <c r="K39" i="6" s="1"/>
  <c r="D39" i="6"/>
  <c r="L39" i="6" s="1"/>
  <c r="C39" i="6"/>
  <c r="B39" i="6"/>
  <c r="J39" i="6" s="1"/>
  <c r="A39" i="6"/>
  <c r="K38" i="6"/>
  <c r="G38" i="6"/>
  <c r="F38" i="6"/>
  <c r="E38" i="6"/>
  <c r="D38" i="6"/>
  <c r="L38" i="6" s="1"/>
  <c r="C38" i="6"/>
  <c r="B38" i="6"/>
  <c r="J38" i="6" s="1"/>
  <c r="A38" i="6"/>
  <c r="G37" i="6"/>
  <c r="F37" i="6"/>
  <c r="H37" i="6" s="1"/>
  <c r="I37" i="6" s="1"/>
  <c r="E37" i="6"/>
  <c r="D37" i="6"/>
  <c r="L37" i="6" s="1"/>
  <c r="C37" i="6"/>
  <c r="B37" i="6"/>
  <c r="J37" i="6" s="1"/>
  <c r="A37" i="6"/>
  <c r="G36" i="6"/>
  <c r="F36" i="6"/>
  <c r="E36" i="6"/>
  <c r="D36" i="6"/>
  <c r="C36" i="6"/>
  <c r="B36" i="6"/>
  <c r="A36" i="6"/>
  <c r="G35" i="6"/>
  <c r="F35" i="6"/>
  <c r="E35" i="6"/>
  <c r="D35" i="6"/>
  <c r="C35" i="6"/>
  <c r="B35" i="6"/>
  <c r="A35" i="6"/>
  <c r="G34" i="6"/>
  <c r="F34" i="6"/>
  <c r="H34" i="6" s="1"/>
  <c r="I34" i="6" s="1"/>
  <c r="E34" i="6"/>
  <c r="D34" i="6"/>
  <c r="C34" i="6"/>
  <c r="B34" i="6"/>
  <c r="J34" i="6" s="1"/>
  <c r="A34" i="6"/>
  <c r="G33" i="6"/>
  <c r="F33" i="6"/>
  <c r="H33" i="6" s="1"/>
  <c r="I33" i="6" s="1"/>
  <c r="E33" i="6"/>
  <c r="K33" i="6" s="1"/>
  <c r="D33" i="6"/>
  <c r="C33" i="6"/>
  <c r="B33" i="6"/>
  <c r="J33" i="6" s="1"/>
  <c r="A33" i="6"/>
  <c r="G32" i="6"/>
  <c r="K32" i="6" s="1"/>
  <c r="F32" i="6"/>
  <c r="H32" i="6" s="1"/>
  <c r="I32" i="6" s="1"/>
  <c r="E32" i="6"/>
  <c r="D32" i="6"/>
  <c r="C32" i="6"/>
  <c r="B32" i="6"/>
  <c r="J32" i="6" s="1"/>
  <c r="A32" i="6"/>
  <c r="G31" i="6"/>
  <c r="F31" i="6"/>
  <c r="E31" i="6"/>
  <c r="K31" i="6" s="1"/>
  <c r="D31" i="6"/>
  <c r="L31" i="6" s="1"/>
  <c r="C31" i="6"/>
  <c r="B31" i="6"/>
  <c r="A31" i="6"/>
  <c r="G30" i="6"/>
  <c r="F30" i="6"/>
  <c r="E30" i="6"/>
  <c r="K30" i="6" s="1"/>
  <c r="D30" i="6"/>
  <c r="L30" i="6" s="1"/>
  <c r="C30" i="6"/>
  <c r="B30" i="6"/>
  <c r="A30" i="6"/>
  <c r="G29" i="6"/>
  <c r="F29" i="6"/>
  <c r="H29" i="6" s="1"/>
  <c r="I29" i="6" s="1"/>
  <c r="E29" i="6"/>
  <c r="D29" i="6"/>
  <c r="L29" i="6" s="1"/>
  <c r="C29" i="6"/>
  <c r="B29" i="6"/>
  <c r="A29" i="6"/>
  <c r="G28" i="6"/>
  <c r="F28" i="6"/>
  <c r="E28" i="6"/>
  <c r="K28" i="6" s="1"/>
  <c r="D28" i="6"/>
  <c r="L28" i="6" s="1"/>
  <c r="C28" i="6"/>
  <c r="B28" i="6"/>
  <c r="A28" i="6"/>
  <c r="G27" i="6"/>
  <c r="F27" i="6"/>
  <c r="E27" i="6"/>
  <c r="D27" i="6"/>
  <c r="L27" i="6" s="1"/>
  <c r="M27" i="6" s="1"/>
  <c r="C27" i="6"/>
  <c r="B27" i="6"/>
  <c r="H27" i="6" s="1"/>
  <c r="I27" i="6" s="1"/>
  <c r="A27" i="6"/>
  <c r="G26" i="6"/>
  <c r="F26" i="6"/>
  <c r="E26" i="6"/>
  <c r="D26" i="6"/>
  <c r="C26" i="6"/>
  <c r="B26" i="6"/>
  <c r="J26" i="6" s="1"/>
  <c r="A26" i="6"/>
  <c r="G25" i="6"/>
  <c r="F25" i="6"/>
  <c r="E25" i="6"/>
  <c r="K25" i="6" s="1"/>
  <c r="D25" i="6"/>
  <c r="C25" i="6"/>
  <c r="B25" i="6"/>
  <c r="J25" i="6" s="1"/>
  <c r="A25" i="6"/>
  <c r="G24" i="6"/>
  <c r="F24" i="6"/>
  <c r="E24" i="6"/>
  <c r="K24" i="6" s="1"/>
  <c r="D24" i="6"/>
  <c r="L24" i="6" s="1"/>
  <c r="C24" i="6"/>
  <c r="B24" i="6"/>
  <c r="H24" i="6" s="1"/>
  <c r="I24" i="6" s="1"/>
  <c r="A24" i="6"/>
  <c r="G23" i="6"/>
  <c r="F23" i="6"/>
  <c r="E23" i="6"/>
  <c r="D23" i="6"/>
  <c r="C23" i="6"/>
  <c r="B23" i="6"/>
  <c r="J23" i="6" s="1"/>
  <c r="A23" i="6"/>
  <c r="G22" i="6"/>
  <c r="F22" i="6"/>
  <c r="E22" i="6"/>
  <c r="K22" i="6" s="1"/>
  <c r="D22" i="6"/>
  <c r="C22" i="6"/>
  <c r="B22" i="6"/>
  <c r="J22" i="6" s="1"/>
  <c r="A22" i="6"/>
  <c r="G21" i="6"/>
  <c r="K21" i="6" s="1"/>
  <c r="F21" i="6"/>
  <c r="H21" i="6" s="1"/>
  <c r="I21" i="6" s="1"/>
  <c r="E21" i="6"/>
  <c r="D21" i="6"/>
  <c r="C21" i="6"/>
  <c r="B21" i="6"/>
  <c r="J21" i="6" s="1"/>
  <c r="A21" i="6"/>
  <c r="G20" i="6"/>
  <c r="F20" i="6"/>
  <c r="E20" i="6"/>
  <c r="K20" i="6" s="1"/>
  <c r="D20" i="6"/>
  <c r="L20" i="6" s="1"/>
  <c r="C20" i="6"/>
  <c r="B20" i="6"/>
  <c r="J20" i="6" s="1"/>
  <c r="A20" i="6"/>
  <c r="G19" i="6"/>
  <c r="F19" i="6"/>
  <c r="E19" i="6"/>
  <c r="D19" i="6"/>
  <c r="C19" i="6"/>
  <c r="B19" i="6"/>
  <c r="A19" i="6"/>
  <c r="G18" i="6"/>
  <c r="F18" i="6"/>
  <c r="H18" i="6" s="1"/>
  <c r="I18" i="6" s="1"/>
  <c r="E18" i="6"/>
  <c r="D18" i="6"/>
  <c r="C18" i="6"/>
  <c r="B18" i="6"/>
  <c r="A18" i="6"/>
  <c r="G17" i="6"/>
  <c r="K17" i="6" s="1"/>
  <c r="F17" i="6"/>
  <c r="H17" i="6" s="1"/>
  <c r="I17" i="6" s="1"/>
  <c r="E17" i="6"/>
  <c r="D17" i="6"/>
  <c r="C17" i="6"/>
  <c r="B17" i="6"/>
  <c r="A17" i="6"/>
  <c r="K16" i="6"/>
  <c r="H16" i="6"/>
  <c r="I16" i="6" s="1"/>
  <c r="G16" i="6"/>
  <c r="F16" i="6"/>
  <c r="E16" i="6"/>
  <c r="D16" i="6"/>
  <c r="C16" i="6"/>
  <c r="B16" i="6"/>
  <c r="A16" i="6"/>
  <c r="G15" i="6"/>
  <c r="F15" i="6"/>
  <c r="H15" i="6" s="1"/>
  <c r="I15" i="6" s="1"/>
  <c r="E15" i="6"/>
  <c r="D15" i="6"/>
  <c r="C15" i="6"/>
  <c r="B15" i="6"/>
  <c r="A15" i="6"/>
  <c r="G14" i="6"/>
  <c r="K14" i="6" s="1"/>
  <c r="F14" i="6"/>
  <c r="H14" i="6" s="1"/>
  <c r="I14" i="6" s="1"/>
  <c r="E14" i="6"/>
  <c r="D14" i="6"/>
  <c r="C14" i="6"/>
  <c r="B14" i="6"/>
  <c r="A14" i="6"/>
  <c r="H13" i="6"/>
  <c r="I13" i="6" s="1"/>
  <c r="G13" i="6"/>
  <c r="K13" i="6" s="1"/>
  <c r="F13" i="6"/>
  <c r="E13" i="6"/>
  <c r="D13" i="6"/>
  <c r="C13" i="6"/>
  <c r="B13" i="6"/>
  <c r="A13" i="6"/>
  <c r="G12" i="6"/>
  <c r="F12" i="6"/>
  <c r="E12" i="6"/>
  <c r="D12" i="6"/>
  <c r="C12" i="6"/>
  <c r="B12" i="6"/>
  <c r="J12" i="6" s="1"/>
  <c r="A12" i="6"/>
  <c r="G11" i="6"/>
  <c r="F11" i="6"/>
  <c r="E11" i="6"/>
  <c r="K11" i="6" s="1"/>
  <c r="D11" i="6"/>
  <c r="L11" i="6" s="1"/>
  <c r="C11" i="6"/>
  <c r="B11" i="6"/>
  <c r="A11" i="6"/>
  <c r="G10" i="6"/>
  <c r="F10" i="6"/>
  <c r="E10" i="6"/>
  <c r="D10" i="6"/>
  <c r="L10" i="6" s="1"/>
  <c r="C10" i="6"/>
  <c r="B10" i="6"/>
  <c r="A10" i="6"/>
  <c r="G9" i="6"/>
  <c r="F9" i="6"/>
  <c r="E9" i="6"/>
  <c r="K9" i="6" s="1"/>
  <c r="D9" i="6"/>
  <c r="L9" i="6" s="1"/>
  <c r="C9" i="6"/>
  <c r="B9" i="6"/>
  <c r="A9" i="6"/>
  <c r="G8" i="6"/>
  <c r="F8" i="6"/>
  <c r="H8" i="6" s="1"/>
  <c r="I8" i="6" s="1"/>
  <c r="E8" i="6"/>
  <c r="K8" i="6" s="1"/>
  <c r="D8" i="6"/>
  <c r="L8" i="6" s="1"/>
  <c r="C8" i="6"/>
  <c r="B8" i="6"/>
  <c r="A8" i="6"/>
  <c r="G7" i="6"/>
  <c r="F7" i="6"/>
  <c r="E7" i="6"/>
  <c r="K7" i="6" s="1"/>
  <c r="D7" i="6"/>
  <c r="L7" i="6" s="1"/>
  <c r="C7" i="6"/>
  <c r="B7" i="6"/>
  <c r="A7" i="6"/>
  <c r="G6" i="6"/>
  <c r="F6" i="6"/>
  <c r="E6" i="6"/>
  <c r="K6" i="6" s="1"/>
  <c r="D6" i="6"/>
  <c r="L6" i="6" s="1"/>
  <c r="C6" i="6"/>
  <c r="B6" i="6"/>
  <c r="J6" i="6" s="1"/>
  <c r="A6" i="6"/>
  <c r="G5" i="6"/>
  <c r="F5" i="6"/>
  <c r="H5" i="6" s="1"/>
  <c r="I5" i="6" s="1"/>
  <c r="E5" i="6"/>
  <c r="D5" i="6"/>
  <c r="L5" i="6" s="1"/>
  <c r="C5" i="6"/>
  <c r="B5" i="6"/>
  <c r="A5" i="6"/>
  <c r="G4" i="6"/>
  <c r="F4" i="6"/>
  <c r="E4" i="6"/>
  <c r="K4" i="6" s="1"/>
  <c r="D4" i="6"/>
  <c r="L4" i="6" s="1"/>
  <c r="C4" i="6"/>
  <c r="B4" i="6"/>
  <c r="A4" i="6"/>
  <c r="G3" i="6"/>
  <c r="F3" i="6"/>
  <c r="E3" i="6"/>
  <c r="K3" i="6" s="1"/>
  <c r="D3" i="6"/>
  <c r="L3" i="6" s="1"/>
  <c r="C3" i="6"/>
  <c r="B3" i="6"/>
  <c r="A3" i="6"/>
  <c r="G2" i="6"/>
  <c r="K2" i="6" s="1"/>
  <c r="F2" i="6"/>
  <c r="E2" i="6"/>
  <c r="D2" i="6"/>
  <c r="L2" i="6" s="1"/>
  <c r="C2" i="6"/>
  <c r="B2" i="6"/>
  <c r="A2" i="6"/>
  <c r="G2" i="5"/>
  <c r="F2" i="5"/>
  <c r="E2" i="5"/>
  <c r="D2" i="5"/>
  <c r="L2" i="5" s="1"/>
  <c r="C2" i="5"/>
  <c r="B2" i="5"/>
  <c r="A2" i="5"/>
  <c r="E45" i="4"/>
  <c r="E46" i="4"/>
  <c r="E47" i="4"/>
  <c r="E48" i="4"/>
  <c r="E49" i="4"/>
  <c r="E50" i="4"/>
  <c r="E51" i="4"/>
  <c r="E44" i="4"/>
  <c r="H45" i="1"/>
  <c r="H46" i="1"/>
  <c r="H47" i="1"/>
  <c r="H48" i="1"/>
  <c r="H49" i="1"/>
  <c r="H50" i="1"/>
  <c r="H51" i="1"/>
  <c r="H44" i="1"/>
  <c r="E33" i="4"/>
  <c r="E34" i="4"/>
  <c r="E35" i="4"/>
  <c r="E32" i="4"/>
  <c r="E36" i="4"/>
  <c r="E37" i="4"/>
  <c r="E38" i="4"/>
  <c r="E39" i="4"/>
  <c r="E40" i="4"/>
  <c r="E41" i="4"/>
  <c r="E42" i="4"/>
  <c r="E43" i="4"/>
  <c r="E25" i="4"/>
  <c r="E26" i="4"/>
  <c r="E27" i="4"/>
  <c r="E28" i="4"/>
  <c r="E29" i="4"/>
  <c r="E30" i="4"/>
  <c r="E31" i="4"/>
  <c r="E19" i="4"/>
  <c r="E20" i="4"/>
  <c r="E21" i="4"/>
  <c r="E22" i="4"/>
  <c r="E23" i="4"/>
  <c r="E24" i="4"/>
  <c r="E3" i="4"/>
  <c r="E4" i="4"/>
  <c r="E5" i="4"/>
  <c r="E6" i="4"/>
  <c r="E7" i="4"/>
  <c r="E8" i="4"/>
  <c r="E9" i="4"/>
  <c r="E10" i="4"/>
  <c r="E11" i="4"/>
  <c r="E12" i="4"/>
  <c r="E13" i="4"/>
  <c r="E14" i="4"/>
  <c r="E15" i="4"/>
  <c r="E16" i="4"/>
  <c r="E17" i="4"/>
  <c r="E18" i="4"/>
  <c r="E2" i="4"/>
  <c r="K5" i="7" l="1"/>
  <c r="H8" i="7"/>
  <c r="I8" i="7" s="1"/>
  <c r="H5" i="7"/>
  <c r="I5" i="7" s="1"/>
  <c r="J7" i="7"/>
  <c r="M8" i="7"/>
  <c r="J4" i="7"/>
  <c r="J5" i="7"/>
  <c r="L7" i="7"/>
  <c r="K8" i="7"/>
  <c r="H4" i="7"/>
  <c r="I4" i="7" s="1"/>
  <c r="M4" i="7" s="1"/>
  <c r="L2" i="7"/>
  <c r="M2" i="7" s="1"/>
  <c r="L3" i="7"/>
  <c r="M3" i="7" s="1"/>
  <c r="L6" i="7"/>
  <c r="M6" i="7" s="1"/>
  <c r="K7" i="7"/>
  <c r="K2" i="7"/>
  <c r="K6" i="7"/>
  <c r="K2" i="5"/>
  <c r="J2" i="5"/>
  <c r="H31" i="6"/>
  <c r="I31" i="6" s="1"/>
  <c r="H3" i="6"/>
  <c r="I3" i="6" s="1"/>
  <c r="K5" i="6"/>
  <c r="H7" i="6"/>
  <c r="I7" i="6" s="1"/>
  <c r="H9" i="6"/>
  <c r="I9" i="6" s="1"/>
  <c r="H10" i="6"/>
  <c r="I10" i="6" s="1"/>
  <c r="J16" i="6"/>
  <c r="H19" i="6"/>
  <c r="I19" i="6" s="1"/>
  <c r="L21" i="6"/>
  <c r="M21" i="6" s="1"/>
  <c r="L22" i="6"/>
  <c r="L23" i="6"/>
  <c r="L25" i="6"/>
  <c r="L26" i="6"/>
  <c r="M26" i="6" s="1"/>
  <c r="K27" i="6"/>
  <c r="K29" i="6"/>
  <c r="J36" i="6"/>
  <c r="L40" i="6"/>
  <c r="M40" i="6" s="1"/>
  <c r="L41" i="6"/>
  <c r="L42" i="6"/>
  <c r="K43" i="6"/>
  <c r="M24" i="6"/>
  <c r="H2" i="6"/>
  <c r="I2" i="6" s="1"/>
  <c r="K10" i="6"/>
  <c r="J13" i="6"/>
  <c r="J14" i="6"/>
  <c r="J15" i="6"/>
  <c r="J17" i="6"/>
  <c r="J18" i="6"/>
  <c r="K23" i="6"/>
  <c r="K26" i="6"/>
  <c r="H35" i="6"/>
  <c r="I35" i="6" s="1"/>
  <c r="M37" i="6"/>
  <c r="K42" i="6"/>
  <c r="H30" i="6"/>
  <c r="I30" i="6" s="1"/>
  <c r="J3" i="6"/>
  <c r="L16" i="6"/>
  <c r="M16" i="6" s="1"/>
  <c r="L19" i="6"/>
  <c r="M19" i="6" s="1"/>
  <c r="H22" i="6"/>
  <c r="I22" i="6" s="1"/>
  <c r="H23" i="6"/>
  <c r="I23" i="6" s="1"/>
  <c r="H25" i="6"/>
  <c r="I25" i="6" s="1"/>
  <c r="H26" i="6"/>
  <c r="I26" i="6" s="1"/>
  <c r="L36" i="6"/>
  <c r="H41" i="6"/>
  <c r="I41" i="6" s="1"/>
  <c r="H42" i="6"/>
  <c r="I42" i="6" s="1"/>
  <c r="H6" i="6"/>
  <c r="I6" i="6" s="1"/>
  <c r="M6" i="6" s="1"/>
  <c r="H11" i="6"/>
  <c r="I11" i="6" s="1"/>
  <c r="J5" i="6"/>
  <c r="J8" i="6"/>
  <c r="J11" i="6"/>
  <c r="L13" i="6"/>
  <c r="L14" i="6"/>
  <c r="M14" i="6" s="1"/>
  <c r="L15" i="6"/>
  <c r="M15" i="6" s="1"/>
  <c r="L17" i="6"/>
  <c r="M17" i="6" s="1"/>
  <c r="L18" i="6"/>
  <c r="M18" i="6" s="1"/>
  <c r="K19" i="6"/>
  <c r="J29" i="6"/>
  <c r="J30" i="6"/>
  <c r="J31" i="6"/>
  <c r="L35" i="6"/>
  <c r="K36" i="6"/>
  <c r="H38" i="6"/>
  <c r="I38" i="6" s="1"/>
  <c r="H39" i="6"/>
  <c r="I39" i="6" s="1"/>
  <c r="M39" i="6" s="1"/>
  <c r="J4" i="6"/>
  <c r="J7" i="6"/>
  <c r="J9" i="6"/>
  <c r="J10" i="6"/>
  <c r="L12" i="6"/>
  <c r="K15" i="6"/>
  <c r="K18" i="6"/>
  <c r="J28" i="6"/>
  <c r="L32" i="6"/>
  <c r="M32" i="6" s="1"/>
  <c r="L33" i="6"/>
  <c r="M33" i="6" s="1"/>
  <c r="L34" i="6"/>
  <c r="M34" i="6" s="1"/>
  <c r="K35" i="6"/>
  <c r="K37" i="6"/>
  <c r="M2" i="6"/>
  <c r="J2" i="6"/>
  <c r="K12" i="6"/>
  <c r="J24" i="6"/>
  <c r="K34" i="6"/>
  <c r="M5" i="7"/>
  <c r="M7" i="7"/>
  <c r="H7" i="7"/>
  <c r="I7" i="7" s="1"/>
  <c r="J8" i="7"/>
  <c r="M38" i="6"/>
  <c r="M5" i="6"/>
  <c r="M8" i="6"/>
  <c r="M11" i="6"/>
  <c r="M29" i="6"/>
  <c r="M30" i="6"/>
  <c r="M31" i="6"/>
  <c r="M13" i="6"/>
  <c r="M3" i="6"/>
  <c r="M7" i="6"/>
  <c r="M9" i="6"/>
  <c r="M10" i="6"/>
  <c r="J43" i="6"/>
  <c r="J19" i="6"/>
  <c r="J27" i="6"/>
  <c r="J35" i="6"/>
  <c r="H4" i="6"/>
  <c r="I4" i="6" s="1"/>
  <c r="M4" i="6" s="1"/>
  <c r="H12" i="6"/>
  <c r="I12" i="6" s="1"/>
  <c r="M12" i="6" s="1"/>
  <c r="H20" i="6"/>
  <c r="I20" i="6" s="1"/>
  <c r="H28" i="6"/>
  <c r="I28" i="6" s="1"/>
  <c r="M28" i="6" s="1"/>
  <c r="H36" i="6"/>
  <c r="I36" i="6" s="1"/>
  <c r="M36" i="6" s="1"/>
  <c r="H2" i="5"/>
  <c r="I2" i="5" s="1"/>
  <c r="M2" i="5" s="1"/>
  <c r="J7" i="5" l="1"/>
  <c r="M25" i="6"/>
  <c r="M35" i="6"/>
  <c r="M42" i="6"/>
  <c r="M23" i="6"/>
  <c r="J48" i="6"/>
  <c r="M41" i="6"/>
  <c r="M22" i="6"/>
  <c r="J12" i="7"/>
  <c r="L12" i="7" s="1"/>
  <c r="J13" i="7"/>
  <c r="J47" i="6"/>
  <c r="L47" i="6" s="1"/>
  <c r="M20" i="6"/>
  <c r="J6" i="5"/>
  <c r="L6" i="5" s="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T33" i="1"/>
  <c r="H36" i="1"/>
  <c r="H37" i="1"/>
  <c r="H38" i="1"/>
  <c r="H39" i="1"/>
  <c r="H40" i="1"/>
  <c r="H41" i="1"/>
  <c r="H42" i="1"/>
  <c r="H43" i="1"/>
  <c r="H2" i="1"/>
  <c r="R3" i="1"/>
  <c r="S3" i="1"/>
  <c r="R4" i="1"/>
  <c r="S4" i="1"/>
  <c r="R5" i="1"/>
  <c r="S5" i="1"/>
  <c r="R6" i="1"/>
  <c r="S6" i="1"/>
  <c r="R7" i="1"/>
  <c r="S7" i="1"/>
  <c r="R8" i="1"/>
  <c r="S8" i="1"/>
  <c r="R9" i="1"/>
  <c r="S9" i="1"/>
  <c r="R10" i="1"/>
  <c r="S10" i="1"/>
  <c r="R11" i="1"/>
  <c r="S11" i="1"/>
  <c r="R12" i="1"/>
  <c r="S12" i="1"/>
  <c r="R13" i="1"/>
  <c r="S13" i="1"/>
  <c r="R14" i="1"/>
  <c r="S14" i="1"/>
  <c r="R15" i="1"/>
  <c r="S15" i="1"/>
  <c r="R16" i="1"/>
  <c r="S16" i="1"/>
  <c r="R17" i="1"/>
  <c r="S17" i="1"/>
  <c r="R18" i="1"/>
  <c r="S18" i="1"/>
  <c r="R19" i="1"/>
  <c r="S19" i="1"/>
  <c r="R20" i="1"/>
  <c r="S20" i="1"/>
  <c r="R21" i="1"/>
  <c r="D10" i="2" s="1"/>
  <c r="S21" i="1"/>
  <c r="E10" i="2" s="1"/>
  <c r="R22" i="1"/>
  <c r="S22" i="1"/>
  <c r="R23" i="1"/>
  <c r="S23" i="1"/>
  <c r="R24" i="1"/>
  <c r="S24" i="1"/>
  <c r="R25" i="1"/>
  <c r="D11" i="2" s="1"/>
  <c r="S25" i="1"/>
  <c r="E11" i="2" s="1"/>
  <c r="R26" i="1"/>
  <c r="S26" i="1"/>
  <c r="R27" i="1"/>
  <c r="S27" i="1"/>
  <c r="R28" i="1"/>
  <c r="S28" i="1"/>
  <c r="R29" i="1"/>
  <c r="S29" i="1"/>
  <c r="R30" i="1"/>
  <c r="S30" i="1"/>
  <c r="R31" i="1"/>
  <c r="S31" i="1"/>
  <c r="R32" i="1"/>
  <c r="S32" i="1"/>
  <c r="R33" i="1"/>
  <c r="S33" i="1"/>
  <c r="R34" i="1"/>
  <c r="S34" i="1"/>
  <c r="R35" i="1"/>
  <c r="S35" i="1"/>
  <c r="R36" i="1"/>
  <c r="S36" i="1"/>
  <c r="R37" i="1"/>
  <c r="S37" i="1"/>
  <c r="R38" i="1"/>
  <c r="S38" i="1"/>
  <c r="R39" i="1"/>
  <c r="S39" i="1"/>
  <c r="R40" i="1"/>
  <c r="S40" i="1"/>
  <c r="R41" i="1"/>
  <c r="S41" i="1"/>
  <c r="R42" i="1"/>
  <c r="S42" i="1"/>
  <c r="R43" i="1"/>
  <c r="S43" i="1"/>
  <c r="R44" i="1"/>
  <c r="D14" i="2" s="1"/>
  <c r="D15" i="2" s="1"/>
  <c r="S44" i="1"/>
  <c r="E3" i="2" s="1"/>
  <c r="R45" i="1"/>
  <c r="D16" i="2" s="1"/>
  <c r="S45" i="1"/>
  <c r="E4" i="2" s="1"/>
  <c r="R46" i="1"/>
  <c r="S46" i="1"/>
  <c r="R47" i="1"/>
  <c r="S47" i="1"/>
  <c r="R48" i="1"/>
  <c r="S48" i="1"/>
  <c r="R49" i="1"/>
  <c r="S49" i="1"/>
  <c r="R50" i="1"/>
  <c r="S50" i="1"/>
  <c r="R51" i="1"/>
  <c r="S51" i="1"/>
  <c r="S2" i="1"/>
  <c r="R2" i="1"/>
  <c r="T34" i="1"/>
  <c r="T35" i="1"/>
  <c r="T36" i="1"/>
  <c r="T37" i="1"/>
  <c r="T38" i="1"/>
  <c r="T39" i="1"/>
  <c r="T40" i="1"/>
  <c r="T41" i="1"/>
  <c r="T42" i="1"/>
  <c r="T43" i="1"/>
  <c r="T44" i="1"/>
  <c r="T45" i="1"/>
  <c r="T46" i="1"/>
  <c r="T47" i="1"/>
  <c r="T48" i="1"/>
  <c r="T49" i="1"/>
  <c r="T50" i="1"/>
  <c r="T51" i="1"/>
  <c r="T32" i="1"/>
  <c r="E12" i="2" l="1"/>
  <c r="D12" i="2"/>
  <c r="D9" i="2"/>
  <c r="E9" i="2"/>
  <c r="E13" i="2" s="1"/>
  <c r="E17" i="2"/>
  <c r="D17" i="2"/>
  <c r="D18" i="2"/>
  <c r="E16" i="2"/>
  <c r="D2" i="2"/>
  <c r="D5" i="2" s="1"/>
  <c r="D4" i="2"/>
  <c r="E2" i="2"/>
  <c r="E5" i="2" s="1"/>
  <c r="F17" i="2"/>
  <c r="F4" i="2"/>
  <c r="F14" i="2"/>
  <c r="F15" i="2" s="1"/>
  <c r="F12" i="2"/>
  <c r="E14" i="2"/>
  <c r="E15" i="2" s="1"/>
  <c r="D3" i="2"/>
  <c r="F3" i="2"/>
  <c r="F16" i="2"/>
  <c r="D13" i="2"/>
  <c r="E18" i="2" l="1"/>
  <c r="D19" i="2"/>
  <c r="F18" i="2"/>
  <c r="E19" i="2"/>
  <c r="G51" i="4"/>
  <c r="F51" i="4"/>
  <c r="D51" i="4"/>
  <c r="C51" i="4"/>
  <c r="B51" i="4"/>
  <c r="A51" i="4"/>
  <c r="G50" i="4"/>
  <c r="F50" i="4"/>
  <c r="D50" i="4"/>
  <c r="C50" i="4"/>
  <c r="B50" i="4"/>
  <c r="A50" i="4"/>
  <c r="G49" i="4"/>
  <c r="F49" i="4"/>
  <c r="D49" i="4"/>
  <c r="C49" i="4"/>
  <c r="B49" i="4"/>
  <c r="A49" i="4"/>
  <c r="G48" i="4"/>
  <c r="F48" i="4"/>
  <c r="D48" i="4"/>
  <c r="C48" i="4"/>
  <c r="B48" i="4"/>
  <c r="A48" i="4"/>
  <c r="G47" i="4"/>
  <c r="F47" i="4"/>
  <c r="D47" i="4"/>
  <c r="C47" i="4"/>
  <c r="B47" i="4"/>
  <c r="A47" i="4"/>
  <c r="G46" i="4"/>
  <c r="F46" i="4"/>
  <c r="D46" i="4"/>
  <c r="C46" i="4"/>
  <c r="B46" i="4"/>
  <c r="A46" i="4"/>
  <c r="G45" i="4"/>
  <c r="F45" i="4"/>
  <c r="D45" i="4"/>
  <c r="C45" i="4"/>
  <c r="B45" i="4"/>
  <c r="A45" i="4"/>
  <c r="G44" i="4"/>
  <c r="F44" i="4"/>
  <c r="D44" i="4"/>
  <c r="C44" i="4"/>
  <c r="B44" i="4"/>
  <c r="A44" i="4"/>
  <c r="G43" i="4"/>
  <c r="F43" i="4"/>
  <c r="D43" i="4"/>
  <c r="C43" i="4"/>
  <c r="B43" i="4"/>
  <c r="A43" i="4"/>
  <c r="G42" i="4"/>
  <c r="F42" i="4"/>
  <c r="D42" i="4"/>
  <c r="C42" i="4"/>
  <c r="B42" i="4"/>
  <c r="A42" i="4"/>
  <c r="G41" i="4"/>
  <c r="F41" i="4"/>
  <c r="D41" i="4"/>
  <c r="C41" i="4"/>
  <c r="B41" i="4"/>
  <c r="A41" i="4"/>
  <c r="G40" i="4"/>
  <c r="F40" i="4"/>
  <c r="D40" i="4"/>
  <c r="C40" i="4"/>
  <c r="B40" i="4"/>
  <c r="A40" i="4"/>
  <c r="G39" i="4"/>
  <c r="F39" i="4"/>
  <c r="D39" i="4"/>
  <c r="C39" i="4"/>
  <c r="B39" i="4"/>
  <c r="A39" i="4"/>
  <c r="G38" i="4"/>
  <c r="F38" i="4"/>
  <c r="D38" i="4"/>
  <c r="C38" i="4"/>
  <c r="B38" i="4"/>
  <c r="A38" i="4"/>
  <c r="G37" i="4"/>
  <c r="F37" i="4"/>
  <c r="D37" i="4"/>
  <c r="C37" i="4"/>
  <c r="B37" i="4"/>
  <c r="A37" i="4"/>
  <c r="G36" i="4"/>
  <c r="F36" i="4"/>
  <c r="D36" i="4"/>
  <c r="C36" i="4"/>
  <c r="B36" i="4"/>
  <c r="A36" i="4"/>
  <c r="G35" i="4"/>
  <c r="F35" i="4"/>
  <c r="D35" i="4"/>
  <c r="C35" i="4"/>
  <c r="B35" i="4"/>
  <c r="A35" i="4"/>
  <c r="G34" i="4"/>
  <c r="F34" i="4"/>
  <c r="D34" i="4"/>
  <c r="C34" i="4"/>
  <c r="B34" i="4"/>
  <c r="A34" i="4"/>
  <c r="G33" i="4"/>
  <c r="F33" i="4"/>
  <c r="D33" i="4"/>
  <c r="C33" i="4"/>
  <c r="B33" i="4"/>
  <c r="A33" i="4"/>
  <c r="G32" i="4"/>
  <c r="F32" i="4"/>
  <c r="D32" i="4"/>
  <c r="C32" i="4"/>
  <c r="B32" i="4"/>
  <c r="A32" i="4"/>
  <c r="G31" i="4"/>
  <c r="F31" i="4"/>
  <c r="D31" i="4"/>
  <c r="C31" i="4"/>
  <c r="B31" i="4"/>
  <c r="A31" i="4"/>
  <c r="G30" i="4"/>
  <c r="F30" i="4"/>
  <c r="D30" i="4"/>
  <c r="C30" i="4"/>
  <c r="B30" i="4"/>
  <c r="A30" i="4"/>
  <c r="G29" i="4"/>
  <c r="F29" i="4"/>
  <c r="D29" i="4"/>
  <c r="C29" i="4"/>
  <c r="B29" i="4"/>
  <c r="A29" i="4"/>
  <c r="G28" i="4"/>
  <c r="F28" i="4"/>
  <c r="D28" i="4"/>
  <c r="C28" i="4"/>
  <c r="B28" i="4"/>
  <c r="A28" i="4"/>
  <c r="G27" i="4"/>
  <c r="F27" i="4"/>
  <c r="D27" i="4"/>
  <c r="C27" i="4"/>
  <c r="B27" i="4"/>
  <c r="A27" i="4"/>
  <c r="G26" i="4"/>
  <c r="F26" i="4"/>
  <c r="D26" i="4"/>
  <c r="C26" i="4"/>
  <c r="B26" i="4"/>
  <c r="A26" i="4"/>
  <c r="G25" i="4"/>
  <c r="F25" i="4"/>
  <c r="D25" i="4"/>
  <c r="C25" i="4"/>
  <c r="B25" i="4"/>
  <c r="A25" i="4"/>
  <c r="G24" i="4"/>
  <c r="F24" i="4"/>
  <c r="D24" i="4"/>
  <c r="C24" i="4"/>
  <c r="B24" i="4"/>
  <c r="A24" i="4"/>
  <c r="G23" i="4"/>
  <c r="F23" i="4"/>
  <c r="D23" i="4"/>
  <c r="C23" i="4"/>
  <c r="B23" i="4"/>
  <c r="A23" i="4"/>
  <c r="G22" i="4"/>
  <c r="F22" i="4"/>
  <c r="D22" i="4"/>
  <c r="C22" i="4"/>
  <c r="B22" i="4"/>
  <c r="A22" i="4"/>
  <c r="G21" i="4"/>
  <c r="F21" i="4"/>
  <c r="D21" i="4"/>
  <c r="C21" i="4"/>
  <c r="B21" i="4"/>
  <c r="A21" i="4"/>
  <c r="G20" i="4"/>
  <c r="F20" i="4"/>
  <c r="D20" i="4"/>
  <c r="C20" i="4"/>
  <c r="B20" i="4"/>
  <c r="A20" i="4"/>
  <c r="G19" i="4"/>
  <c r="F19" i="4"/>
  <c r="D19" i="4"/>
  <c r="C19" i="4"/>
  <c r="B19" i="4"/>
  <c r="A19" i="4"/>
  <c r="G18" i="4"/>
  <c r="F18" i="4"/>
  <c r="D18" i="4"/>
  <c r="C18" i="4"/>
  <c r="B18" i="4"/>
  <c r="A18" i="4"/>
  <c r="G17" i="4"/>
  <c r="F17" i="4"/>
  <c r="D17" i="4"/>
  <c r="C17" i="4"/>
  <c r="B17" i="4"/>
  <c r="A17" i="4"/>
  <c r="G16" i="4"/>
  <c r="F16" i="4"/>
  <c r="D16" i="4"/>
  <c r="C16" i="4"/>
  <c r="B16" i="4"/>
  <c r="A16" i="4"/>
  <c r="G15" i="4"/>
  <c r="F15" i="4"/>
  <c r="D15" i="4"/>
  <c r="C15" i="4"/>
  <c r="B15" i="4"/>
  <c r="A15" i="4"/>
  <c r="G14" i="4"/>
  <c r="F14" i="4"/>
  <c r="D14" i="4"/>
  <c r="C14" i="4"/>
  <c r="B14" i="4"/>
  <c r="A14" i="4"/>
  <c r="G13" i="4"/>
  <c r="F13" i="4"/>
  <c r="D13" i="4"/>
  <c r="C13" i="4"/>
  <c r="B13" i="4"/>
  <c r="A13" i="4"/>
  <c r="G12" i="4"/>
  <c r="F12" i="4"/>
  <c r="D12" i="4"/>
  <c r="C12" i="4"/>
  <c r="B12" i="4"/>
  <c r="A12" i="4"/>
  <c r="G11" i="4"/>
  <c r="F11" i="4"/>
  <c r="D11" i="4"/>
  <c r="C11" i="4"/>
  <c r="B11" i="4"/>
  <c r="A11" i="4"/>
  <c r="G10" i="4"/>
  <c r="F10" i="4"/>
  <c r="D10" i="4"/>
  <c r="C10" i="4"/>
  <c r="B10" i="4"/>
  <c r="A10" i="4"/>
  <c r="G9" i="4"/>
  <c r="F9" i="4"/>
  <c r="D9" i="4"/>
  <c r="C9" i="4"/>
  <c r="B9" i="4"/>
  <c r="A9" i="4"/>
  <c r="G8" i="4"/>
  <c r="F8" i="4"/>
  <c r="D8" i="4"/>
  <c r="C8" i="4"/>
  <c r="B8" i="4"/>
  <c r="A8" i="4"/>
  <c r="G7" i="4"/>
  <c r="F7" i="4"/>
  <c r="D7" i="4"/>
  <c r="C7" i="4"/>
  <c r="B7" i="4"/>
  <c r="A7" i="4"/>
  <c r="G6" i="4"/>
  <c r="F6" i="4"/>
  <c r="D6" i="4"/>
  <c r="C6" i="4"/>
  <c r="B6" i="4"/>
  <c r="A6" i="4"/>
  <c r="G5" i="4"/>
  <c r="F5" i="4"/>
  <c r="D5" i="4"/>
  <c r="C5" i="4"/>
  <c r="B5" i="4"/>
  <c r="A5" i="4"/>
  <c r="G4" i="4"/>
  <c r="F4" i="4"/>
  <c r="D4" i="4"/>
  <c r="C4" i="4"/>
  <c r="B4" i="4"/>
  <c r="A4" i="4"/>
  <c r="G3" i="4"/>
  <c r="F3" i="4"/>
  <c r="D3" i="4"/>
  <c r="C3" i="4"/>
  <c r="B3" i="4"/>
  <c r="A3" i="4"/>
  <c r="G2" i="4"/>
  <c r="F2" i="4"/>
  <c r="D2" i="4"/>
  <c r="C2" i="4"/>
  <c r="B2" i="4"/>
  <c r="A2" i="4"/>
  <c r="U51" i="1"/>
  <c r="Q51" i="1"/>
  <c r="J51" i="1" s="1"/>
  <c r="U50" i="1"/>
  <c r="Q50" i="1"/>
  <c r="J50" i="1" s="1"/>
  <c r="U49" i="1"/>
  <c r="Q49" i="1"/>
  <c r="J49" i="1" s="1"/>
  <c r="U48" i="1"/>
  <c r="Q48" i="1"/>
  <c r="J48" i="1" s="1"/>
  <c r="U47" i="1"/>
  <c r="Q47" i="1"/>
  <c r="J47" i="1" s="1"/>
  <c r="U46" i="1"/>
  <c r="Q46" i="1"/>
  <c r="U45" i="1"/>
  <c r="Q45" i="1"/>
  <c r="U44" i="1"/>
  <c r="Q44" i="1"/>
  <c r="U43" i="1"/>
  <c r="Q43" i="1"/>
  <c r="J43" i="1" s="1"/>
  <c r="U42" i="1"/>
  <c r="Q42" i="1"/>
  <c r="J42" i="1" s="1"/>
  <c r="U41" i="1"/>
  <c r="Q41" i="1"/>
  <c r="J41" i="1" s="1"/>
  <c r="U40" i="1"/>
  <c r="Q40" i="1"/>
  <c r="J40" i="1" s="1"/>
  <c r="U39" i="1"/>
  <c r="Q39" i="1"/>
  <c r="J39" i="1" s="1"/>
  <c r="U38" i="1"/>
  <c r="Q38" i="1"/>
  <c r="J38" i="1" s="1"/>
  <c r="U37" i="1"/>
  <c r="Q37" i="1"/>
  <c r="J37" i="1" s="1"/>
  <c r="U36" i="1"/>
  <c r="Q36" i="1"/>
  <c r="U35" i="1"/>
  <c r="Q35" i="1"/>
  <c r="J35" i="1" s="1"/>
  <c r="U34" i="1"/>
  <c r="Q34" i="1"/>
  <c r="J34" i="1" s="1"/>
  <c r="U33" i="1"/>
  <c r="Q33" i="1"/>
  <c r="J33" i="1" s="1"/>
  <c r="U32" i="1"/>
  <c r="Q32" i="1"/>
  <c r="J32" i="1" s="1"/>
  <c r="T31" i="1"/>
  <c r="J31" i="1" s="1"/>
  <c r="U31" i="1"/>
  <c r="Q31" i="1"/>
  <c r="T30" i="1"/>
  <c r="U30" i="1"/>
  <c r="Q30" i="1"/>
  <c r="T29" i="1"/>
  <c r="U29" i="1"/>
  <c r="Q29" i="1"/>
  <c r="T28" i="1"/>
  <c r="U28" i="1"/>
  <c r="Q28" i="1"/>
  <c r="T27" i="1"/>
  <c r="J27" i="1" s="1"/>
  <c r="U27" i="1"/>
  <c r="Q27" i="1"/>
  <c r="T26" i="1"/>
  <c r="J26" i="1" s="1"/>
  <c r="U26" i="1"/>
  <c r="Q26" i="1"/>
  <c r="T25" i="1"/>
  <c r="U25" i="1"/>
  <c r="Q25" i="1"/>
  <c r="T24" i="1"/>
  <c r="U24" i="1"/>
  <c r="Q24" i="1"/>
  <c r="T23" i="1"/>
  <c r="J23" i="1" s="1"/>
  <c r="U23" i="1"/>
  <c r="Q23" i="1"/>
  <c r="T22" i="1"/>
  <c r="U22" i="1"/>
  <c r="Q22" i="1"/>
  <c r="T21" i="1"/>
  <c r="U21" i="1"/>
  <c r="Q21" i="1"/>
  <c r="C10" i="2" s="1"/>
  <c r="T20" i="1"/>
  <c r="U20" i="1"/>
  <c r="Q20" i="1"/>
  <c r="T19" i="1"/>
  <c r="J19" i="1" s="1"/>
  <c r="U19" i="1"/>
  <c r="Q19" i="1"/>
  <c r="T18" i="1"/>
  <c r="J18" i="1" s="1"/>
  <c r="U18" i="1"/>
  <c r="Q18" i="1"/>
  <c r="T17" i="1"/>
  <c r="U17" i="1"/>
  <c r="Q17" i="1"/>
  <c r="T16" i="1"/>
  <c r="U16" i="1"/>
  <c r="Q16" i="1"/>
  <c r="T15" i="1"/>
  <c r="J15" i="1" s="1"/>
  <c r="U15" i="1"/>
  <c r="Q15" i="1"/>
  <c r="T14" i="1"/>
  <c r="U14" i="1"/>
  <c r="Q14" i="1"/>
  <c r="T13" i="1"/>
  <c r="U13" i="1"/>
  <c r="Q13" i="1"/>
  <c r="T12" i="1"/>
  <c r="U12" i="1"/>
  <c r="Q12" i="1"/>
  <c r="T11" i="1"/>
  <c r="J11" i="1" s="1"/>
  <c r="U11" i="1"/>
  <c r="Q11" i="1"/>
  <c r="T10" i="1"/>
  <c r="J10" i="1" s="1"/>
  <c r="U10" i="1"/>
  <c r="Q10" i="1"/>
  <c r="T9" i="1"/>
  <c r="U9" i="1"/>
  <c r="Q9" i="1"/>
  <c r="T8" i="1"/>
  <c r="U8" i="1"/>
  <c r="Q8" i="1"/>
  <c r="T7" i="1"/>
  <c r="J7" i="1" s="1"/>
  <c r="U7" i="1"/>
  <c r="Q7" i="1"/>
  <c r="T6" i="1"/>
  <c r="U6" i="1"/>
  <c r="Q6" i="1"/>
  <c r="T5" i="1"/>
  <c r="U5" i="1"/>
  <c r="Q5" i="1"/>
  <c r="T4" i="1"/>
  <c r="U4" i="1"/>
  <c r="Q4" i="1"/>
  <c r="T3" i="1"/>
  <c r="J3" i="1" s="1"/>
  <c r="U3" i="1"/>
  <c r="Q3" i="1"/>
  <c r="T2" i="1"/>
  <c r="U2" i="1"/>
  <c r="Q2" i="1"/>
  <c r="L35" i="4" l="1"/>
  <c r="C12" i="2"/>
  <c r="J36" i="1"/>
  <c r="G12" i="2" s="1"/>
  <c r="J5" i="1"/>
  <c r="J13" i="1"/>
  <c r="J21" i="1"/>
  <c r="F10" i="2"/>
  <c r="J29" i="1"/>
  <c r="J16" i="1"/>
  <c r="C16" i="2"/>
  <c r="C4" i="2"/>
  <c r="J45" i="1"/>
  <c r="G16" i="2" s="1"/>
  <c r="J2" i="1"/>
  <c r="F9" i="2"/>
  <c r="F2" i="2"/>
  <c r="F5" i="2" s="1"/>
  <c r="C14" i="2"/>
  <c r="C15" i="2" s="1"/>
  <c r="C3" i="2"/>
  <c r="J44" i="1"/>
  <c r="G14" i="2" s="1"/>
  <c r="G15" i="2" s="1"/>
  <c r="J8" i="1"/>
  <c r="C11" i="2"/>
  <c r="J6" i="1"/>
  <c r="J14" i="1"/>
  <c r="J22" i="1"/>
  <c r="J30" i="1"/>
  <c r="C17" i="2"/>
  <c r="C18" i="2" s="1"/>
  <c r="J46" i="1"/>
  <c r="G17" i="2" s="1"/>
  <c r="J24" i="1"/>
  <c r="J9" i="1"/>
  <c r="J17" i="1"/>
  <c r="J25" i="1"/>
  <c r="F11" i="2"/>
  <c r="F13" i="2" s="1"/>
  <c r="F19" i="2" s="1"/>
  <c r="C9" i="2"/>
  <c r="C2" i="2"/>
  <c r="C5" i="2" s="1"/>
  <c r="J4" i="1"/>
  <c r="J12" i="1"/>
  <c r="J20" i="1"/>
  <c r="J28" i="1"/>
  <c r="L28" i="4"/>
  <c r="J42" i="4"/>
  <c r="L44" i="4"/>
  <c r="K40" i="4"/>
  <c r="G4" i="2"/>
  <c r="L10" i="4"/>
  <c r="L18" i="4"/>
  <c r="L34" i="4"/>
  <c r="H40" i="4"/>
  <c r="I40" i="4" s="1"/>
  <c r="G3" i="2"/>
  <c r="L27" i="4"/>
  <c r="H46" i="4"/>
  <c r="I46" i="4" s="1"/>
  <c r="J8" i="4"/>
  <c r="K19" i="4"/>
  <c r="J24" i="4"/>
  <c r="K35" i="4"/>
  <c r="J41" i="4"/>
  <c r="H51" i="4"/>
  <c r="I51" i="4" s="1"/>
  <c r="K41" i="4"/>
  <c r="K25" i="4"/>
  <c r="H30" i="4"/>
  <c r="I30" i="4" s="1"/>
  <c r="L46" i="4"/>
  <c r="J9" i="4"/>
  <c r="K12" i="4"/>
  <c r="J25" i="4"/>
  <c r="K28" i="4"/>
  <c r="L45" i="4"/>
  <c r="L16" i="4"/>
  <c r="L24" i="4"/>
  <c r="J26" i="4"/>
  <c r="J44" i="4"/>
  <c r="J7" i="4"/>
  <c r="L9" i="4"/>
  <c r="L17" i="4"/>
  <c r="L51" i="4"/>
  <c r="J6" i="4"/>
  <c r="L8" i="4"/>
  <c r="K26" i="4"/>
  <c r="K46" i="4"/>
  <c r="H4" i="4"/>
  <c r="I4" i="4" s="1"/>
  <c r="K5" i="4"/>
  <c r="H20" i="4"/>
  <c r="I20" i="4" s="1"/>
  <c r="K21" i="4"/>
  <c r="H36" i="4"/>
  <c r="I36" i="4" s="1"/>
  <c r="H3" i="4"/>
  <c r="I3" i="4" s="1"/>
  <c r="J23" i="4"/>
  <c r="K17" i="4"/>
  <c r="J22" i="4"/>
  <c r="K24" i="4"/>
  <c r="K37" i="4"/>
  <c r="J4" i="4"/>
  <c r="J5" i="4"/>
  <c r="L7" i="4"/>
  <c r="K8" i="4"/>
  <c r="K10" i="4"/>
  <c r="J13" i="4"/>
  <c r="L15" i="4"/>
  <c r="K16" i="4"/>
  <c r="L33" i="4"/>
  <c r="J39" i="4"/>
  <c r="L43" i="4"/>
  <c r="K44" i="4"/>
  <c r="K9" i="4"/>
  <c r="J12" i="4"/>
  <c r="L14" i="4"/>
  <c r="K15" i="4"/>
  <c r="H16" i="4"/>
  <c r="I16" i="4" s="1"/>
  <c r="H25" i="4"/>
  <c r="I25" i="4" s="1"/>
  <c r="H26" i="4"/>
  <c r="I26" i="4" s="1"/>
  <c r="K33" i="4"/>
  <c r="J38" i="4"/>
  <c r="L40" i="4"/>
  <c r="J11" i="4"/>
  <c r="L13" i="4"/>
  <c r="J29" i="4"/>
  <c r="L31" i="4"/>
  <c r="K32" i="4"/>
  <c r="L49" i="4"/>
  <c r="H6" i="4"/>
  <c r="I6" i="4" s="1"/>
  <c r="J10" i="4"/>
  <c r="L12" i="4"/>
  <c r="H14" i="4"/>
  <c r="I14" i="4" s="1"/>
  <c r="J28" i="4"/>
  <c r="L30" i="4"/>
  <c r="K31" i="4"/>
  <c r="H32" i="4"/>
  <c r="I32" i="4" s="1"/>
  <c r="H41" i="4"/>
  <c r="I41" i="4" s="1"/>
  <c r="H42" i="4"/>
  <c r="I42" i="4" s="1"/>
  <c r="K49" i="4"/>
  <c r="L2" i="4"/>
  <c r="L11" i="4"/>
  <c r="L19" i="4"/>
  <c r="J27" i="4"/>
  <c r="L29" i="4"/>
  <c r="K30" i="4"/>
  <c r="K42" i="4"/>
  <c r="J45" i="4"/>
  <c r="L47" i="4"/>
  <c r="K48" i="4"/>
  <c r="H19" i="4"/>
  <c r="I19" i="4" s="1"/>
  <c r="L3" i="4"/>
  <c r="K4" i="4"/>
  <c r="H8" i="4"/>
  <c r="I8" i="4" s="1"/>
  <c r="H12" i="4"/>
  <c r="I12" i="4" s="1"/>
  <c r="J15" i="4"/>
  <c r="J17" i="4"/>
  <c r="J18" i="4"/>
  <c r="L20" i="4"/>
  <c r="L21" i="4"/>
  <c r="K22" i="4"/>
  <c r="H28" i="4"/>
  <c r="I28" i="4" s="1"/>
  <c r="J31" i="4"/>
  <c r="J33" i="4"/>
  <c r="J34" i="4"/>
  <c r="L36" i="4"/>
  <c r="L37" i="4"/>
  <c r="K38" i="4"/>
  <c r="H44" i="4"/>
  <c r="I44" i="4" s="1"/>
  <c r="J47" i="4"/>
  <c r="J49" i="4"/>
  <c r="J50" i="4"/>
  <c r="K3" i="4"/>
  <c r="J14" i="4"/>
  <c r="K20" i="4"/>
  <c r="H22" i="4"/>
  <c r="I22" i="4" s="1"/>
  <c r="H24" i="4"/>
  <c r="I24" i="4" s="1"/>
  <c r="J30" i="4"/>
  <c r="L32" i="4"/>
  <c r="K36" i="4"/>
  <c r="H38" i="4"/>
  <c r="I38" i="4" s="1"/>
  <c r="J46" i="4"/>
  <c r="L48" i="4"/>
  <c r="H2" i="4"/>
  <c r="I2" i="4" s="1"/>
  <c r="H35" i="4"/>
  <c r="I35" i="4" s="1"/>
  <c r="J40" i="4"/>
  <c r="J43" i="4"/>
  <c r="K47" i="4"/>
  <c r="K50" i="4"/>
  <c r="K2" i="4"/>
  <c r="K14" i="4"/>
  <c r="H17" i="4"/>
  <c r="I17" i="4" s="1"/>
  <c r="H18" i="4"/>
  <c r="I18" i="4" s="1"/>
  <c r="H33" i="4"/>
  <c r="I33" i="4" s="1"/>
  <c r="H34" i="4"/>
  <c r="I34" i="4" s="1"/>
  <c r="M34" i="4" s="1"/>
  <c r="H49" i="4"/>
  <c r="I49" i="4" s="1"/>
  <c r="H50" i="4"/>
  <c r="I50" i="4" s="1"/>
  <c r="K51" i="4"/>
  <c r="K18" i="4"/>
  <c r="K34" i="4"/>
  <c r="H48" i="4"/>
  <c r="I48" i="4" s="1"/>
  <c r="J3" i="4"/>
  <c r="L6" i="4"/>
  <c r="K7" i="4"/>
  <c r="K11" i="4"/>
  <c r="J20" i="4"/>
  <c r="J21" i="4"/>
  <c r="L23" i="4"/>
  <c r="L25" i="4"/>
  <c r="L26" i="4"/>
  <c r="K27" i="4"/>
  <c r="J36" i="4"/>
  <c r="J37" i="4"/>
  <c r="L39" i="4"/>
  <c r="L41" i="4"/>
  <c r="L42" i="4"/>
  <c r="K43" i="4"/>
  <c r="L50" i="4"/>
  <c r="J2" i="4"/>
  <c r="L4" i="4"/>
  <c r="L5" i="4"/>
  <c r="K6" i="4"/>
  <c r="H9" i="4"/>
  <c r="I9" i="4" s="1"/>
  <c r="H10" i="4"/>
  <c r="I10" i="4" s="1"/>
  <c r="H11" i="4"/>
  <c r="I11" i="4" s="1"/>
  <c r="K13" i="4"/>
  <c r="J16" i="4"/>
  <c r="J19" i="4"/>
  <c r="L22" i="4"/>
  <c r="K23" i="4"/>
  <c r="H27" i="4"/>
  <c r="I27" i="4" s="1"/>
  <c r="K29" i="4"/>
  <c r="J32" i="4"/>
  <c r="J35" i="4"/>
  <c r="L38" i="4"/>
  <c r="K39" i="4"/>
  <c r="H43" i="4"/>
  <c r="I43" i="4" s="1"/>
  <c r="K45" i="4"/>
  <c r="J48" i="4"/>
  <c r="J51" i="4"/>
  <c r="H5" i="4"/>
  <c r="I5" i="4" s="1"/>
  <c r="H13" i="4"/>
  <c r="I13" i="4" s="1"/>
  <c r="H21" i="4"/>
  <c r="I21" i="4" s="1"/>
  <c r="H29" i="4"/>
  <c r="I29" i="4" s="1"/>
  <c r="H37" i="4"/>
  <c r="I37" i="4" s="1"/>
  <c r="H45" i="4"/>
  <c r="I45" i="4" s="1"/>
  <c r="H15" i="4"/>
  <c r="I15" i="4" s="1"/>
  <c r="H23" i="4"/>
  <c r="I23" i="4" s="1"/>
  <c r="H31" i="4"/>
  <c r="I31" i="4" s="1"/>
  <c r="H39" i="4"/>
  <c r="I39" i="4" s="1"/>
  <c r="H47" i="4"/>
  <c r="I47" i="4" s="1"/>
  <c r="H7" i="4"/>
  <c r="I7" i="4" s="1"/>
  <c r="M10" i="4" l="1"/>
  <c r="M40" i="4"/>
  <c r="M8" i="4"/>
  <c r="M47" i="4"/>
  <c r="M15" i="4"/>
  <c r="M46" i="4"/>
  <c r="M35" i="4"/>
  <c r="M28" i="4"/>
  <c r="M27" i="4"/>
  <c r="G18" i="2"/>
  <c r="C19" i="2"/>
  <c r="G11" i="2"/>
  <c r="G10" i="2"/>
  <c r="G9" i="2"/>
  <c r="M33" i="4"/>
  <c r="M44" i="4"/>
  <c r="C13" i="2"/>
  <c r="M30" i="4"/>
  <c r="M18" i="4"/>
  <c r="M9" i="4"/>
  <c r="M51" i="4"/>
  <c r="M49" i="4"/>
  <c r="M29" i="4"/>
  <c r="M17" i="4"/>
  <c r="M43" i="4"/>
  <c r="M13" i="4"/>
  <c r="M4" i="4"/>
  <c r="M37" i="4"/>
  <c r="M7" i="4"/>
  <c r="M31" i="4"/>
  <c r="M41" i="4"/>
  <c r="M32" i="4"/>
  <c r="M20" i="4"/>
  <c r="M19" i="4"/>
  <c r="M25" i="4"/>
  <c r="M24" i="4"/>
  <c r="M16" i="4"/>
  <c r="M22" i="4"/>
  <c r="M6" i="4"/>
  <c r="M3" i="4"/>
  <c r="M39" i="4"/>
  <c r="M45" i="4"/>
  <c r="M21" i="4"/>
  <c r="M50" i="4"/>
  <c r="M26" i="4"/>
  <c r="M42" i="4"/>
  <c r="M23" i="4"/>
  <c r="M36" i="4"/>
  <c r="M2" i="4"/>
  <c r="M12" i="4"/>
  <c r="M14" i="4"/>
  <c r="M11" i="4"/>
  <c r="M48" i="4"/>
  <c r="M38" i="4"/>
  <c r="M5" i="4"/>
  <c r="J56" i="4"/>
  <c r="G13" i="2" l="1"/>
  <c r="G19" i="2" s="1"/>
  <c r="J55" i="4"/>
  <c r="L55" i="4" s="1"/>
  <c r="G2" i="2"/>
  <c r="G5" i="2" s="1"/>
</calcChain>
</file>

<file path=xl/sharedStrings.xml><?xml version="1.0" encoding="utf-8"?>
<sst xmlns="http://schemas.openxmlformats.org/spreadsheetml/2006/main" count="518" uniqueCount="189">
  <si>
    <t>Scope</t>
  </si>
  <si>
    <t>Category</t>
  </si>
  <si>
    <t>Activity</t>
  </si>
  <si>
    <t>Description</t>
  </si>
  <si>
    <t>Comments</t>
  </si>
  <si>
    <t>Activity Data Value</t>
  </si>
  <si>
    <t>Activity Data Unit</t>
  </si>
  <si>
    <t>Emission Factor</t>
  </si>
  <si>
    <t>EF Unit</t>
  </si>
  <si>
    <t>AD Source</t>
  </si>
  <si>
    <t>EF Source</t>
  </si>
  <si>
    <t>CO2 EF (kg CO2 per Activity Data Unit)</t>
  </si>
  <si>
    <t>CH4 EF (kg CH4 per Activity Data Unit)</t>
  </si>
  <si>
    <t>N2O EF (kg N2O per Activity Data Unit)</t>
  </si>
  <si>
    <t>CO2 Emissions (tCO2)</t>
  </si>
  <si>
    <t>Fluorinated Gas Mass (t F-gas)</t>
  </si>
  <si>
    <t>Fluorinated Gas Emissions (tCO2e)</t>
  </si>
  <si>
    <t>stationary combusion</t>
  </si>
  <si>
    <t>Heters/boiler fuel gas firing</t>
  </si>
  <si>
    <t>Heters/boiler fuel gas firing - U_01 heater fuel firing</t>
  </si>
  <si>
    <t>GJ</t>
  </si>
  <si>
    <t>kg CO2e/GJ</t>
  </si>
  <si>
    <t>Well Calibrated Meter</t>
  </si>
  <si>
    <t>CO₂ from stationary fuel combustion using site-specific carbon content (lab)</t>
  </si>
  <si>
    <t>Heters/boiler fuel gas firing - U_17 heater fuel firing</t>
  </si>
  <si>
    <t>Heters/boiler fuel gas firing - U02/03 heter firing</t>
  </si>
  <si>
    <t>Heters/boiler fuel gas firing - U_04 heater firing</t>
  </si>
  <si>
    <t>Special Emission Factor</t>
  </si>
  <si>
    <t>Heters/boiler fuel gas firing - U_07 heter firing</t>
  </si>
  <si>
    <t>Heters/boiler fuel gas firing - U_08 heater firing</t>
  </si>
  <si>
    <t>Heters/boiler fuel gas firing - U_09 heater firing</t>
  </si>
  <si>
    <t>Heters/boiler fuel gas firing - U_11 heater firing</t>
  </si>
  <si>
    <t>Heters/boiler fuel gas firing - U_11_cell3 heater firing</t>
  </si>
  <si>
    <t>Heters/boiler fuel gas firing - U_18 heater firing</t>
  </si>
  <si>
    <t>Heters/boiler fuel gas firing - U_19 heater firing</t>
  </si>
  <si>
    <t>Heters/boiler fuel gas firing - U_20 heater firing</t>
  </si>
  <si>
    <t>Heters/boiler fuel gas firing - U_21 heater firing</t>
  </si>
  <si>
    <t>Heters/boiler fuel gas firing - U_37 boilers firing</t>
  </si>
  <si>
    <t>Incenerator firing</t>
  </si>
  <si>
    <t>Incenerator firing - U_13 firing</t>
  </si>
  <si>
    <t>Incenerator firing - U_22 firing</t>
  </si>
  <si>
    <t>Fuel oil firing</t>
  </si>
  <si>
    <t>U_01 heater</t>
  </si>
  <si>
    <t>Diesel firing</t>
  </si>
  <si>
    <t>Diesel firing - Electric substations</t>
  </si>
  <si>
    <t>L</t>
  </si>
  <si>
    <t>kg CO2e/L</t>
  </si>
  <si>
    <t>Supplier Invoices</t>
  </si>
  <si>
    <t>DEFRA 2024 conversion factors</t>
  </si>
  <si>
    <t>Diesel firing - Disel Fire pumps</t>
  </si>
  <si>
    <t>Mobile combusion</t>
  </si>
  <si>
    <t>Diesel</t>
  </si>
  <si>
    <t>Diesel - Forklifts</t>
  </si>
  <si>
    <t>L diesel</t>
  </si>
  <si>
    <t>Diesel - Fire vehicle</t>
  </si>
  <si>
    <t>Diesel - maintinance vehicles</t>
  </si>
  <si>
    <t>Diesel - shuttle/Bus movements</t>
  </si>
  <si>
    <t>Fugitive emissions</t>
  </si>
  <si>
    <t>Storage tanks breathing &amp; working losses</t>
  </si>
  <si>
    <t>Storage tanks breathing &amp; working losses - Crude Tanks</t>
  </si>
  <si>
    <t>m3 throughput</t>
  </si>
  <si>
    <t>kg CO2e/m3</t>
  </si>
  <si>
    <t>Storage tanks breathing &amp; working losses - LPG tanks</t>
  </si>
  <si>
    <t>Storage tanks breathing &amp; working losses - Naphtha Tanks</t>
  </si>
  <si>
    <t>Storage tanks breathing &amp; working losses - Kerosene Tanks</t>
  </si>
  <si>
    <t>Storage tanks breathing &amp; working losses - Diesel Tanks</t>
  </si>
  <si>
    <t>Product loading/unloading</t>
  </si>
  <si>
    <t>Truck loading</t>
  </si>
  <si>
    <t>m3 loaded</t>
  </si>
  <si>
    <t>Fire extinguishers</t>
  </si>
  <si>
    <t>From all Co2 fire extinguishers in the refinery</t>
  </si>
  <si>
    <t>kg CO2</t>
  </si>
  <si>
    <t>kg CO2e/kg CO2</t>
  </si>
  <si>
    <t>Refrigerant leaks</t>
  </si>
  <si>
    <t>Refrigerant leaks - R-134a</t>
  </si>
  <si>
    <t>kg refrigerant</t>
  </si>
  <si>
    <t>tCO2e/kg refrigerant</t>
  </si>
  <si>
    <t>Refrigerant leaks - R-410a</t>
  </si>
  <si>
    <t>Refrigerant leaks - R-407c</t>
  </si>
  <si>
    <t>Refrigerant leaks - R-404a</t>
  </si>
  <si>
    <t>Process Emission</t>
  </si>
  <si>
    <t>Catalyst regeneration</t>
  </si>
  <si>
    <t>U_04 regen tower</t>
  </si>
  <si>
    <t>kg catalyst</t>
  </si>
  <si>
    <t>kg CO2e/kg catalyst</t>
  </si>
  <si>
    <t>Coke burn by mass balance / air flow + composition routinely monitored</t>
  </si>
  <si>
    <t>CO₂ (coke burn / flue gas mass balance)</t>
  </si>
  <si>
    <t xml:space="preserve">Coke drum steaming out </t>
  </si>
  <si>
    <t>U_11 steaming out</t>
  </si>
  <si>
    <t>tons coke</t>
  </si>
  <si>
    <t>kg CO2e/ton coke</t>
  </si>
  <si>
    <t xml:space="preserve">SRU process oxidation </t>
  </si>
  <si>
    <t>SRU process oxidation  - U_13</t>
  </si>
  <si>
    <t>tons sulfur</t>
  </si>
  <si>
    <t>kg CO2e/ton sulfur</t>
  </si>
  <si>
    <t>SRU process oxidation  - U_22</t>
  </si>
  <si>
    <t>Flare header reading</t>
  </si>
  <si>
    <t>Flare header Flowmeter - Stationary combusion</t>
  </si>
  <si>
    <t>Nm3</t>
  </si>
  <si>
    <t>kg CO2e/Nm3</t>
  </si>
  <si>
    <t>Flared gas with continuous flow and periodic composition measurement</t>
  </si>
  <si>
    <t>Flares – CO₂ (combustion efficiency assumption)</t>
  </si>
  <si>
    <t>Waste water unit CH4/N20 release</t>
  </si>
  <si>
    <t>U_54/55</t>
  </si>
  <si>
    <t>m3 wastewater</t>
  </si>
  <si>
    <t>IPCC 2006 Vol.5 (Waste), Ch.6 – requires COD/BOD</t>
  </si>
  <si>
    <t>H2 production</t>
  </si>
  <si>
    <t>H2 production - U_09 production</t>
  </si>
  <si>
    <t>Nm3 H2</t>
  </si>
  <si>
    <t>kg CO2e/Nm3 H2</t>
  </si>
  <si>
    <t>Process default</t>
  </si>
  <si>
    <t>H2 production - U_21 production</t>
  </si>
  <si>
    <t>Purchased electricity</t>
  </si>
  <si>
    <t xml:space="preserve"> - Electricity from Midelec (main supply)</t>
  </si>
  <si>
    <t>MWh</t>
  </si>
  <si>
    <t>tCO2e/MWh</t>
  </si>
  <si>
    <t>Purchased electricity from utility meter</t>
  </si>
  <si>
    <t>Employee comutee</t>
  </si>
  <si>
    <t>From adminstration ( Ayman sabry data )</t>
  </si>
  <si>
    <t>employees</t>
  </si>
  <si>
    <t>tCO2e/employee/year</t>
  </si>
  <si>
    <t>Use of Sold Products</t>
  </si>
  <si>
    <t>Combustion of sold LPG</t>
  </si>
  <si>
    <t>tons</t>
  </si>
  <si>
    <t>tCO2/ton</t>
  </si>
  <si>
    <t>IPCC 2006 (Vol.2 Energy, default fuel carbon content)</t>
  </si>
  <si>
    <t>Combustion of sold gasoline</t>
  </si>
  <si>
    <t>Combustion of sold diesel/gasoil</t>
  </si>
  <si>
    <t>Combustion of sold jet fuel/kerosene</t>
  </si>
  <si>
    <t>Combustion of sold fuel oil</t>
  </si>
  <si>
    <t>Combustion of sold petroleum coke</t>
  </si>
  <si>
    <t>Total Emissions (tCO2e)</t>
  </si>
  <si>
    <t>Scope 1</t>
  </si>
  <si>
    <t>Scope 2</t>
  </si>
  <si>
    <t>Scope 3</t>
  </si>
  <si>
    <t>AD_uncertainty_value</t>
  </si>
  <si>
    <t>AD_uncertainty_Refrence</t>
  </si>
  <si>
    <t>EF_uncertainty_value</t>
  </si>
  <si>
    <t>EF_uncertainty_Refrence</t>
  </si>
  <si>
    <t>GHG Protocol: combustion totals High/Good; site-specific carbon content</t>
  </si>
  <si>
    <t>Robust national factors</t>
  </si>
  <si>
    <t>Defaults are variable vs. CO₂ → Fair–Poor band</t>
  </si>
  <si>
    <t>Flared/vented gas estimated by valve positions/orifice equations (no meter)</t>
  </si>
  <si>
    <t>Any one-off estimate (nameplate × hours, rough back-calcs)</t>
  </si>
  <si>
    <t>EF sheet – Refrigerants (tCO2e/kg)</t>
  </si>
  <si>
    <t>Flares – CH₄</t>
  </si>
  <si>
    <t>Fugitives (CH₄/CO₂) – factors</t>
  </si>
  <si>
    <t>GWP_CH4_100yr</t>
  </si>
  <si>
    <t>Default 100-yr GWP for CH4 (update if using AR6 or other basis)</t>
  </si>
  <si>
    <t>GWP_N2O_100yr</t>
  </si>
  <si>
    <t>Default 100-yr GWP for N2O (update if using AR6 or other basis)</t>
  </si>
  <si>
    <t>Source description</t>
  </si>
  <si>
    <t>Activity Data</t>
  </si>
  <si>
    <t>AD Unit</t>
  </si>
  <si>
    <t>u_AD (rel)</t>
  </si>
  <si>
    <t>u_EF (rel)</t>
  </si>
  <si>
    <t>A × D  (kg CO2e)</t>
  </si>
  <si>
    <t>G / 1000 (tCO2e)</t>
  </si>
  <si>
    <t>A×u_AD (aux)</t>
  </si>
  <si>
    <t>D×u_EF (aux)</t>
  </si>
  <si>
    <t>u_source (rel) = √(C²+F²)</t>
  </si>
  <si>
    <t>(u_source × K)²</t>
  </si>
  <si>
    <t>Aggregated u (rel)</t>
  </si>
  <si>
    <t>Aggregated σ (tCO2e)</t>
  </si>
  <si>
    <t>Sum Emissions (tCO2e)</t>
  </si>
  <si>
    <t>F-gas EF (kg F-gas per Activity Data Unit)</t>
  </si>
  <si>
    <t>Calculated Total Emissions (tCO2e)</t>
  </si>
  <si>
    <t>N2O Emissions (tCO2e)</t>
  </si>
  <si>
    <t>CH4 Emissions (tCO2e)</t>
  </si>
  <si>
    <t>Total</t>
  </si>
  <si>
    <t>Scope 1 Total</t>
  </si>
  <si>
    <t>Scope 2 Total</t>
  </si>
  <si>
    <t>Scope 3 Total</t>
  </si>
  <si>
    <t>Total Scope 1,2,3</t>
  </si>
  <si>
    <t>DEFRA 2024 conversion factors / 2021-API-GHG-Compendium with conversion from KG CO2e /MMBTU to KG CO2e/Litre</t>
  </si>
  <si>
    <t>EPA AP- 42 to calculate Evaporative emissions from tanks then /DEFRA 2024 conversion factors</t>
  </si>
  <si>
    <t>IPCC 2006 Guidelines, Vol.2, Ch.1 – default ±5% for fossil fuel activity data (high-quality meters). Aligned with ‘High’ data-quality rating in GHG Protocol</t>
  </si>
  <si>
    <t>IPCC 2006 default ±5% for fossil fuel activity data, supplier invoices treated as high-quality activity data; consistent with GHG Protocol ‘High’ data quality.</t>
  </si>
  <si>
    <t>Assumed ±5% based on IPCC default for energy activity data; utility billing meters are high-quality meters (GHG Protocol ‘High’).</t>
  </si>
  <si>
    <t>API/IPIECA ‘Addressing Uncertainty…’, flare measurement example (API MPMS 14.10) gives 3.2% combined uncertainty</t>
  </si>
  <si>
    <t>Engineering estimate; assumed ±30% based on expert judgement. Classified as ‘Fair’ (low data quality) in GHG Protocol</t>
  </si>
  <si>
    <t>Assumed ±5% (95% CI) based on expert judgement Classified as ‘High’ data quality in GHG Protocol terms.</t>
  </si>
  <si>
    <t>Assumed ±30% (95% CI) based on expert judgement For corporate inventory purposes we classify generic DEFRA factors as ‘Fair–Poor’ data quality (per GHG Protocol)</t>
  </si>
  <si>
    <t>Assumed ±30% (95% CI) based on expert judgement. IPCC 2006 Vol.5, Ch.6 notes that wastewater emission factors depend strongly on local treatment conditions and industrial mix and can be significantly more uncertain than fuel CO₂ factors. We therefore place default COD/BOD-based factors in the ‘Fair–Poor’ data quality band and use ±30% as a representative value</t>
  </si>
  <si>
    <t>Assumed ±30% (95% CI) based on expert judgement. Default process emission factors without site- or country-specific data are substantially more uncertain than fuel CO₂ factors, so we classify them as ‘Fair’ data quality per GHG Protocol</t>
  </si>
  <si>
    <t>Assumed ±30% (95% CI) based on expert judgement. IPCC assessment reports indicate substantial (≈20–40%) uncertainty in GWPs and related parameters for many HFCs and other F-gases, much higher than for CO₂. We therefore classify default refrigerant factors as ‘Fair–Poor’ data quality and apply a representative ±30%.</t>
  </si>
  <si>
    <t>IPCC Volume 2 Chapter 4</t>
  </si>
  <si>
    <t>Assumed ±5% (95% CI) based on expert judgement. Classified as ‘High’ data quality in GHG Protocol terms.</t>
  </si>
  <si>
    <t>Assumed ±30% (95% CI) based on expert judgement. Contains complex calculations with high uncertainity ( fair as per GHG protocol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</si>
</sst>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7" x14ac:knownFonts="1">
    <font>
      <sz val="11"/>
      <color theme="1"/>
      <name val="Calibri"/>
      <family val="2"/>
      <scheme val="minor"/>
    </font>
    <font>
      <b/>
      <sz val="11"/>
      <name val="Calibri"/>
      <family val="2"/>
    </font>
    <font>
      <sz val="11"/>
      <color theme="1"/>
      <name val="Calibri"/>
      <family val="2"/>
      <scheme val="minor"/>
    </font>
    <font>
      <sz val="11"/>
      <name val="Calibri"/>
      <family val="2"/>
    </font>
    <font>
      <b/>
      <sz val="11"/>
      <color theme="1"/>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19">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s>
  <cellStyleXfs count="3">
    <xf numFmtId="0" fontId="0" fillId="0" borderId="0"/>
    <xf numFmtId="9" fontId="2" fillId="0" borderId="0"/>
    <xf numFmtId="43" fontId="2" fillId="0" borderId="0"/>
  </cellStyleXfs>
  <cellXfs count="4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0" borderId="2" xfId="0" applyFont="1" applyBorder="1"/>
    <xf numFmtId="0" fontId="4" fillId="0" borderId="3" xfId="0" applyFont="1" applyBorder="1"/>
    <xf numFmtId="0" fontId="4" fillId="0" borderId="4" xfId="0" applyFont="1" applyBorder="1"/>
    <xf numFmtId="0" fontId="4" fillId="0" borderId="0" xfId="0" applyFont="1"/>
    <xf numFmtId="164" fontId="0" fillId="0" borderId="1" xfId="0" applyNumberFormat="1" applyBorder="1"/>
    <xf numFmtId="164" fontId="0" fillId="0" borderId="3" xfId="0" applyNumberFormat="1" applyBorder="1"/>
    <xf numFmtId="165" fontId="0" fillId="0" borderId="0" xfId="0" applyNumberFormat="1"/>
    <xf numFmtId="166" fontId="2" fillId="0" borderId="0" xfId="2" applyNumberFormat="1"/>
    <xf numFmtId="166" fontId="2" fillId="0" borderId="1" xfId="2" applyNumberFormat="1" applyBorder="1"/>
    <xf numFmtId="166" fontId="2" fillId="0" borderId="10" xfId="2" applyNumberFormat="1" applyBorder="1"/>
    <xf numFmtId="166" fontId="2" fillId="0" borderId="11" xfId="2" applyNumberFormat="1" applyBorder="1"/>
    <xf numFmtId="0" fontId="4" fillId="2" borderId="12" xfId="0" applyFont="1" applyFill="1" applyBorder="1"/>
    <xf numFmtId="166" fontId="4" fillId="2" borderId="13" xfId="2" applyNumberFormat="1" applyFont="1" applyFill="1" applyBorder="1"/>
    <xf numFmtId="166" fontId="4" fillId="2" borderId="14" xfId="2" applyNumberFormat="1" applyFont="1" applyFill="1" applyBorder="1"/>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166" fontId="2" fillId="0" borderId="6" xfId="2" applyNumberFormat="1" applyBorder="1"/>
    <xf numFmtId="0" fontId="0" fillId="0" borderId="15" xfId="0" applyBorder="1"/>
    <xf numFmtId="166" fontId="2" fillId="0" borderId="16" xfId="2" applyNumberFormat="1" applyBorder="1"/>
    <xf numFmtId="0" fontId="0" fillId="0" borderId="17" xfId="0" applyBorder="1"/>
    <xf numFmtId="166" fontId="2" fillId="0" borderId="18" xfId="2" applyNumberFormat="1" applyBorder="1"/>
    <xf numFmtId="166" fontId="0" fillId="0" borderId="8" xfId="0" applyNumberFormat="1" applyBorder="1"/>
    <xf numFmtId="166" fontId="0" fillId="0" borderId="9" xfId="0" applyNumberFormat="1" applyBorder="1"/>
    <xf numFmtId="0" fontId="5" fillId="0" borderId="0" xfId="0" applyFont="1"/>
    <xf numFmtId="0" fontId="6" fillId="0" borderId="0" xfId="0" applyFont="1"/>
    <xf numFmtId="165" fontId="6" fillId="0" borderId="0" xfId="0" applyNumberFormat="1" applyFont="1"/>
    <xf numFmtId="9" fontId="0" fillId="0" borderId="1" xfId="1" applyFont="1" applyBorder="1" applyAlignment="1">
      <alignment horizontal="center" vertical="center"/>
    </xf>
    <xf numFmtId="164" fontId="0" fillId="0" borderId="1" xfId="1" applyNumberFormat="1" applyFont="1" applyBorder="1" applyAlignment="1">
      <alignment horizontal="center" vertical="center"/>
    </xf>
    <xf numFmtId="9" fontId="2" fillId="0" borderId="1" xfId="1" applyBorder="1" applyAlignment="1">
      <alignment horizontal="center" vertical="center"/>
    </xf>
    <xf numFmtId="9" fontId="0" fillId="0" borderId="8" xfId="1" applyFont="1" applyBorder="1" applyAlignment="1">
      <alignment horizontal="center" vertical="center"/>
    </xf>
    <xf numFmtId="2" fontId="2" fillId="0" borderId="0" xfId="1" applyNumberFormat="1"/>
    <xf numFmtId="9" fontId="0" fillId="0" borderId="10" xfId="1" applyFont="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1"/>
  <sheetViews>
    <sheetView tabSelected="1" topLeftCell="A37" zoomScaleNormal="100" workbookViewId="0">
      <selection activeCell="H51" sqref="H51"/>
    </sheetView>
  </sheetViews>
  <sheetFormatPr defaultColWidth="40.109375" defaultRowHeight="14.4" x14ac:dyDescent="0.3"/>
  <cols>
    <col min="1" max="1" width="10.5546875" bestFit="1" customWidth="1"/>
    <col min="2" max="2" width="18.6640625" bestFit="1" customWidth="1"/>
    <col min="3" max="3" width="34.6640625" bestFit="1" customWidth="1"/>
    <col min="4" max="4" width="32" customWidth="1"/>
    <col min="5" max="5" width="40.33203125" bestFit="1" customWidth="1"/>
    <col min="6" max="6" width="30.33203125" customWidth="1"/>
    <col min="7" max="7" width="20.33203125" customWidth="1"/>
    <col min="8" max="8" width="27.33203125" customWidth="1"/>
    <col min="9" max="9" width="19.5546875" customWidth="1"/>
    <col min="10" max="10" width="34.21875" bestFit="1" customWidth="1"/>
    <col min="11" max="11" width="41" customWidth="1"/>
    <col min="12" max="12" width="63.77734375" bestFit="1" customWidth="1"/>
    <col min="21" max="21" width="0" hidden="1" customWidth="1"/>
  </cols>
  <sheetData>
    <row r="1" spans="1:21" x14ac:dyDescent="0.3">
      <c r="A1" s="2" t="s">
        <v>0</v>
      </c>
      <c r="B1" s="2" t="s">
        <v>1</v>
      </c>
      <c r="C1" s="2" t="s">
        <v>2</v>
      </c>
      <c r="D1" s="2" t="s">
        <v>3</v>
      </c>
      <c r="E1" s="2" t="s">
        <v>4</v>
      </c>
      <c r="F1" s="2" t="s">
        <v>5</v>
      </c>
      <c r="G1" s="2" t="s">
        <v>6</v>
      </c>
      <c r="H1" s="2" t="s">
        <v>7</v>
      </c>
      <c r="I1" s="2" t="s">
        <v>8</v>
      </c>
      <c r="J1" s="2" t="s">
        <v>166</v>
      </c>
      <c r="K1" t="s">
        <v>9</v>
      </c>
      <c r="L1" t="s">
        <v>10</v>
      </c>
      <c r="M1" t="s">
        <v>11</v>
      </c>
      <c r="N1" t="s">
        <v>12</v>
      </c>
      <c r="O1" t="s">
        <v>13</v>
      </c>
      <c r="P1" t="s">
        <v>165</v>
      </c>
      <c r="Q1" t="s">
        <v>14</v>
      </c>
      <c r="R1" t="s">
        <v>168</v>
      </c>
      <c r="S1" t="s">
        <v>167</v>
      </c>
      <c r="T1" t="s">
        <v>16</v>
      </c>
      <c r="U1" t="s">
        <v>15</v>
      </c>
    </row>
    <row r="2" spans="1:21" x14ac:dyDescent="0.3">
      <c r="A2">
        <v>1</v>
      </c>
      <c r="B2" t="s">
        <v>17</v>
      </c>
      <c r="C2" t="s">
        <v>18</v>
      </c>
      <c r="D2" t="s">
        <v>19</v>
      </c>
      <c r="F2">
        <v>2687902</v>
      </c>
      <c r="G2" t="s">
        <v>20</v>
      </c>
      <c r="H2" s="18">
        <f>M2+N2*Lookups!$B$24+O2*Lookups!$B$25</f>
        <v>56.154499999999999</v>
      </c>
      <c r="I2" t="s">
        <v>21</v>
      </c>
      <c r="J2">
        <f>IF(Q2="","",Q2+R2+S2+IF(T2="",0,T2))</f>
        <v>150937.79285900001</v>
      </c>
      <c r="K2" t="s">
        <v>22</v>
      </c>
      <c r="L2" t="s">
        <v>23</v>
      </c>
      <c r="M2">
        <v>56.1</v>
      </c>
      <c r="N2">
        <v>1E-3</v>
      </c>
      <c r="O2">
        <v>1E-4</v>
      </c>
      <c r="Q2">
        <f t="shared" ref="Q2:Q33" si="0">IF(OR(M2="",F2=""),"",F2*M2/1000)</f>
        <v>150791.30220000001</v>
      </c>
      <c r="R2">
        <f>IF(OR(N2="",F2=""),"",F2*N2/1000*Lookups!$B$24)</f>
        <v>75.261256000000003</v>
      </c>
      <c r="S2">
        <f>IF(OR(O2="",F2=""),"",F2*O2/1000*Lookups!$B$25)</f>
        <v>71.229403000000005</v>
      </c>
      <c r="T2" t="str">
        <f t="shared" ref="T2:T31" si="1">IF(AND($B2="Fugitive emissions",$C2="Refrigerant leaks"),J2,"")</f>
        <v/>
      </c>
      <c r="U2" t="str">
        <f t="shared" ref="U2:U33" si="2">IF(AND($B2="Fugitive emissions",$C2="Refrigerant leaks"),F2/1000,"")</f>
        <v/>
      </c>
    </row>
    <row r="3" spans="1:21" x14ac:dyDescent="0.3">
      <c r="A3">
        <v>1</v>
      </c>
      <c r="B3" t="s">
        <v>17</v>
      </c>
      <c r="C3" t="s">
        <v>18</v>
      </c>
      <c r="D3" t="s">
        <v>24</v>
      </c>
      <c r="F3">
        <v>2741660</v>
      </c>
      <c r="G3" t="s">
        <v>20</v>
      </c>
      <c r="H3" s="18">
        <f>M3+N3*Lookups!$B$24+O3*Lookups!$B$25</f>
        <v>56.154499999999999</v>
      </c>
      <c r="I3" t="s">
        <v>21</v>
      </c>
      <c r="J3">
        <f t="shared" ref="J3:J51" si="3">IF(Q3="","",Q3+R3+S3+IF(T3="",0,T3))</f>
        <v>153956.54646999997</v>
      </c>
      <c r="K3" t="s">
        <v>22</v>
      </c>
      <c r="L3" t="s">
        <v>23</v>
      </c>
      <c r="M3">
        <v>56.1</v>
      </c>
      <c r="N3">
        <v>1E-3</v>
      </c>
      <c r="O3">
        <v>1E-4</v>
      </c>
      <c r="Q3">
        <f t="shared" si="0"/>
        <v>153807.12599999999</v>
      </c>
      <c r="R3">
        <f>IF(OR(N3="",F3=""),"",F3*N3/1000*Lookups!$B$24)</f>
        <v>76.766480000000001</v>
      </c>
      <c r="S3">
        <f>IF(OR(O3="",F3=""),"",F3*O3/1000*Lookups!$B$25)</f>
        <v>72.653990000000007</v>
      </c>
      <c r="T3" t="str">
        <f t="shared" si="1"/>
        <v/>
      </c>
      <c r="U3" t="str">
        <f t="shared" si="2"/>
        <v/>
      </c>
    </row>
    <row r="4" spans="1:21" x14ac:dyDescent="0.3">
      <c r="A4">
        <v>1</v>
      </c>
      <c r="B4" t="s">
        <v>17</v>
      </c>
      <c r="C4" t="s">
        <v>18</v>
      </c>
      <c r="D4" t="s">
        <v>25</v>
      </c>
      <c r="F4">
        <v>2795418</v>
      </c>
      <c r="G4" t="s">
        <v>20</v>
      </c>
      <c r="H4" s="18">
        <f>M4+N4*Lookups!$B$24+O4*Lookups!$B$25</f>
        <v>56.154499999999999</v>
      </c>
      <c r="I4" t="s">
        <v>21</v>
      </c>
      <c r="J4">
        <f t="shared" si="3"/>
        <v>156975.30008100002</v>
      </c>
      <c r="K4" t="s">
        <v>22</v>
      </c>
      <c r="L4" t="s">
        <v>23</v>
      </c>
      <c r="M4">
        <v>56.1</v>
      </c>
      <c r="N4">
        <v>1E-3</v>
      </c>
      <c r="O4">
        <v>1E-4</v>
      </c>
      <c r="Q4">
        <f t="shared" si="0"/>
        <v>156822.9498</v>
      </c>
      <c r="R4">
        <f>IF(OR(N4="",F4=""),"",F4*N4/1000*Lookups!$B$24)</f>
        <v>78.271704</v>
      </c>
      <c r="S4">
        <f>IF(OR(O4="",F4=""),"",F4*O4/1000*Lookups!$B$25)</f>
        <v>74.078576999999996</v>
      </c>
      <c r="T4" t="str">
        <f t="shared" si="1"/>
        <v/>
      </c>
      <c r="U4" t="str">
        <f t="shared" si="2"/>
        <v/>
      </c>
    </row>
    <row r="5" spans="1:21" x14ac:dyDescent="0.3">
      <c r="A5">
        <v>1</v>
      </c>
      <c r="B5" t="s">
        <v>17</v>
      </c>
      <c r="C5" t="s">
        <v>18</v>
      </c>
      <c r="D5" t="s">
        <v>26</v>
      </c>
      <c r="E5" t="s">
        <v>27</v>
      </c>
      <c r="F5">
        <v>2849176</v>
      </c>
      <c r="G5" t="s">
        <v>20</v>
      </c>
      <c r="H5" s="18">
        <f>M5+N5*Lookups!$B$24+O5*Lookups!$B$25</f>
        <v>56.154499999999999</v>
      </c>
      <c r="I5" t="s">
        <v>21</v>
      </c>
      <c r="J5">
        <f t="shared" si="3"/>
        <v>159994.05369199999</v>
      </c>
      <c r="K5" t="s">
        <v>22</v>
      </c>
      <c r="L5" t="s">
        <v>23</v>
      </c>
      <c r="M5">
        <v>56.1</v>
      </c>
      <c r="N5">
        <v>1E-3</v>
      </c>
      <c r="O5">
        <v>1E-4</v>
      </c>
      <c r="Q5">
        <f t="shared" si="0"/>
        <v>159838.77359999999</v>
      </c>
      <c r="R5">
        <f>IF(OR(N5="",F5=""),"",F5*N5/1000*Lookups!$B$24)</f>
        <v>79.776927999999998</v>
      </c>
      <c r="S5">
        <f>IF(OR(O5="",F5=""),"",F5*O5/1000*Lookups!$B$25)</f>
        <v>75.503163999999998</v>
      </c>
      <c r="T5" t="str">
        <f t="shared" si="1"/>
        <v/>
      </c>
      <c r="U5" t="str">
        <f t="shared" si="2"/>
        <v/>
      </c>
    </row>
    <row r="6" spans="1:21" x14ac:dyDescent="0.3">
      <c r="A6">
        <v>1</v>
      </c>
      <c r="B6" t="s">
        <v>17</v>
      </c>
      <c r="C6" t="s">
        <v>18</v>
      </c>
      <c r="D6" t="s">
        <v>28</v>
      </c>
      <c r="F6">
        <v>2902934</v>
      </c>
      <c r="G6" t="s">
        <v>20</v>
      </c>
      <c r="H6" s="18">
        <f>M6+N6*Lookups!$B$24+O6*Lookups!$B$25</f>
        <v>56.154499999999999</v>
      </c>
      <c r="I6" t="s">
        <v>21</v>
      </c>
      <c r="J6">
        <f t="shared" si="3"/>
        <v>163012.80730300001</v>
      </c>
      <c r="K6" t="s">
        <v>22</v>
      </c>
      <c r="L6" t="s">
        <v>23</v>
      </c>
      <c r="M6">
        <v>56.1</v>
      </c>
      <c r="N6">
        <v>1E-3</v>
      </c>
      <c r="O6">
        <v>1E-4</v>
      </c>
      <c r="Q6">
        <f t="shared" si="0"/>
        <v>162854.5974</v>
      </c>
      <c r="R6">
        <f>IF(OR(N6="",F6=""),"",F6*N6/1000*Lookups!$B$24)</f>
        <v>81.282151999999996</v>
      </c>
      <c r="S6">
        <f>IF(OR(O6="",F6=""),"",F6*O6/1000*Lookups!$B$25)</f>
        <v>76.927751000000015</v>
      </c>
      <c r="T6" t="str">
        <f t="shared" si="1"/>
        <v/>
      </c>
      <c r="U6" t="str">
        <f t="shared" si="2"/>
        <v/>
      </c>
    </row>
    <row r="7" spans="1:21" x14ac:dyDescent="0.3">
      <c r="A7">
        <v>1</v>
      </c>
      <c r="B7" t="s">
        <v>17</v>
      </c>
      <c r="C7" t="s">
        <v>18</v>
      </c>
      <c r="D7" t="s">
        <v>29</v>
      </c>
      <c r="F7">
        <v>2956692</v>
      </c>
      <c r="G7" t="s">
        <v>20</v>
      </c>
      <c r="H7" s="18">
        <f>M7+N7*Lookups!$B$24+O7*Lookups!$B$25</f>
        <v>56.154499999999999</v>
      </c>
      <c r="I7" t="s">
        <v>21</v>
      </c>
      <c r="J7">
        <f t="shared" si="3"/>
        <v>166031.560914</v>
      </c>
      <c r="K7" t="s">
        <v>22</v>
      </c>
      <c r="L7" t="s">
        <v>23</v>
      </c>
      <c r="M7">
        <v>56.1</v>
      </c>
      <c r="N7">
        <v>1E-3</v>
      </c>
      <c r="O7">
        <v>1E-4</v>
      </c>
      <c r="Q7">
        <f t="shared" si="0"/>
        <v>165870.42120000001</v>
      </c>
      <c r="R7">
        <f>IF(OR(N7="",F7=""),"",F7*N7/1000*Lookups!$B$24)</f>
        <v>82.787375999999995</v>
      </c>
      <c r="S7">
        <f>IF(OR(O7="",F7=""),"",F7*O7/1000*Lookups!$B$25)</f>
        <v>78.352337999999989</v>
      </c>
      <c r="T7" t="str">
        <f t="shared" si="1"/>
        <v/>
      </c>
      <c r="U7" t="str">
        <f t="shared" si="2"/>
        <v/>
      </c>
    </row>
    <row r="8" spans="1:21" x14ac:dyDescent="0.3">
      <c r="A8">
        <v>1</v>
      </c>
      <c r="B8" t="s">
        <v>17</v>
      </c>
      <c r="C8" t="s">
        <v>18</v>
      </c>
      <c r="D8" t="s">
        <v>30</v>
      </c>
      <c r="F8">
        <v>3010450</v>
      </c>
      <c r="G8" t="s">
        <v>20</v>
      </c>
      <c r="H8" s="18">
        <f>M8+N8*Lookups!$B$24+O8*Lookups!$B$25</f>
        <v>56.154499999999999</v>
      </c>
      <c r="I8" t="s">
        <v>21</v>
      </c>
      <c r="J8">
        <f t="shared" si="3"/>
        <v>169050.31452499999</v>
      </c>
      <c r="K8" t="s">
        <v>22</v>
      </c>
      <c r="L8" t="s">
        <v>23</v>
      </c>
      <c r="M8">
        <v>56.1</v>
      </c>
      <c r="N8">
        <v>1E-3</v>
      </c>
      <c r="O8">
        <v>1E-4</v>
      </c>
      <c r="Q8">
        <f t="shared" si="0"/>
        <v>168886.245</v>
      </c>
      <c r="R8">
        <f>IF(OR(N8="",F8=""),"",F8*N8/1000*Lookups!$B$24)</f>
        <v>84.292600000000007</v>
      </c>
      <c r="S8">
        <f>IF(OR(O8="",F8=""),"",F8*O8/1000*Lookups!$B$25)</f>
        <v>79.776925000000006</v>
      </c>
      <c r="T8" t="str">
        <f t="shared" si="1"/>
        <v/>
      </c>
      <c r="U8" t="str">
        <f t="shared" si="2"/>
        <v/>
      </c>
    </row>
    <row r="9" spans="1:21" x14ac:dyDescent="0.3">
      <c r="A9">
        <v>1</v>
      </c>
      <c r="B9" t="s">
        <v>17</v>
      </c>
      <c r="C9" t="s">
        <v>18</v>
      </c>
      <c r="D9" t="s">
        <v>31</v>
      </c>
      <c r="F9">
        <v>3064208</v>
      </c>
      <c r="G9" t="s">
        <v>20</v>
      </c>
      <c r="H9" s="18">
        <f>M9+N9*Lookups!$B$24+O9*Lookups!$B$25</f>
        <v>56.154499999999999</v>
      </c>
      <c r="I9" t="s">
        <v>21</v>
      </c>
      <c r="J9">
        <f t="shared" si="3"/>
        <v>172069.06813600002</v>
      </c>
      <c r="K9" t="s">
        <v>22</v>
      </c>
      <c r="L9" t="s">
        <v>23</v>
      </c>
      <c r="M9">
        <v>56.1</v>
      </c>
      <c r="N9">
        <v>1E-3</v>
      </c>
      <c r="O9">
        <v>1E-4</v>
      </c>
      <c r="Q9">
        <f t="shared" si="0"/>
        <v>171902.06880000001</v>
      </c>
      <c r="R9">
        <f>IF(OR(N9="",F9=""),"",F9*N9/1000*Lookups!$B$24)</f>
        <v>85.797824000000006</v>
      </c>
      <c r="S9">
        <f>IF(OR(O9="",F9=""),"",F9*O9/1000*Lookups!$B$25)</f>
        <v>81.201512000000008</v>
      </c>
      <c r="T9" t="str">
        <f t="shared" si="1"/>
        <v/>
      </c>
      <c r="U9" t="str">
        <f t="shared" si="2"/>
        <v/>
      </c>
    </row>
    <row r="10" spans="1:21" x14ac:dyDescent="0.3">
      <c r="A10">
        <v>1</v>
      </c>
      <c r="B10" t="s">
        <v>17</v>
      </c>
      <c r="C10" t="s">
        <v>18</v>
      </c>
      <c r="D10" t="s">
        <v>32</v>
      </c>
      <c r="F10">
        <v>3117966</v>
      </c>
      <c r="G10" t="s">
        <v>20</v>
      </c>
      <c r="H10" s="18">
        <f>M10+N10*Lookups!$B$24+O10*Lookups!$B$25</f>
        <v>56.154499999999999</v>
      </c>
      <c r="I10" t="s">
        <v>21</v>
      </c>
      <c r="J10">
        <f t="shared" si="3"/>
        <v>175087.82174699998</v>
      </c>
      <c r="K10" t="s">
        <v>22</v>
      </c>
      <c r="L10" t="s">
        <v>23</v>
      </c>
      <c r="M10">
        <v>56.1</v>
      </c>
      <c r="N10">
        <v>1E-3</v>
      </c>
      <c r="O10">
        <v>1E-4</v>
      </c>
      <c r="Q10">
        <f t="shared" si="0"/>
        <v>174917.89259999999</v>
      </c>
      <c r="R10">
        <f>IF(OR(N10="",F10=""),"",F10*N10/1000*Lookups!$B$24)</f>
        <v>87.303048000000004</v>
      </c>
      <c r="S10">
        <f>IF(OR(O10="",F10=""),"",F10*O10/1000*Lookups!$B$25)</f>
        <v>82.626099000000011</v>
      </c>
      <c r="T10" t="str">
        <f t="shared" si="1"/>
        <v/>
      </c>
      <c r="U10" t="str">
        <f t="shared" si="2"/>
        <v/>
      </c>
    </row>
    <row r="11" spans="1:21" x14ac:dyDescent="0.3">
      <c r="A11">
        <v>1</v>
      </c>
      <c r="B11" t="s">
        <v>17</v>
      </c>
      <c r="C11" t="s">
        <v>18</v>
      </c>
      <c r="D11" t="s">
        <v>33</v>
      </c>
      <c r="F11">
        <v>3171724</v>
      </c>
      <c r="G11" t="s">
        <v>20</v>
      </c>
      <c r="H11" s="18">
        <f>M11+N11*Lookups!$B$24+O11*Lookups!$B$25</f>
        <v>56.154499999999999</v>
      </c>
      <c r="I11" t="s">
        <v>21</v>
      </c>
      <c r="J11">
        <f t="shared" si="3"/>
        <v>178106.575358</v>
      </c>
      <c r="K11" t="s">
        <v>22</v>
      </c>
      <c r="L11" t="s">
        <v>23</v>
      </c>
      <c r="M11">
        <v>56.1</v>
      </c>
      <c r="N11">
        <v>1E-3</v>
      </c>
      <c r="O11">
        <v>1E-4</v>
      </c>
      <c r="Q11">
        <f t="shared" si="0"/>
        <v>177933.7164</v>
      </c>
      <c r="R11">
        <f>IF(OR(N11="",F11=""),"",F11*N11/1000*Lookups!$B$24)</f>
        <v>88.808272000000002</v>
      </c>
      <c r="S11">
        <f>IF(OR(O11="",F11=""),"",F11*O11/1000*Lookups!$B$25)</f>
        <v>84.050685999999999</v>
      </c>
      <c r="T11" t="str">
        <f t="shared" si="1"/>
        <v/>
      </c>
      <c r="U11" t="str">
        <f t="shared" si="2"/>
        <v/>
      </c>
    </row>
    <row r="12" spans="1:21" x14ac:dyDescent="0.3">
      <c r="A12">
        <v>1</v>
      </c>
      <c r="B12" t="s">
        <v>17</v>
      </c>
      <c r="C12" t="s">
        <v>18</v>
      </c>
      <c r="D12" t="s">
        <v>34</v>
      </c>
      <c r="F12">
        <v>3225482</v>
      </c>
      <c r="G12" t="s">
        <v>20</v>
      </c>
      <c r="H12" s="18">
        <f>M12+N12*Lookups!$B$24+O12*Lookups!$B$25</f>
        <v>56.154499999999999</v>
      </c>
      <c r="I12" t="s">
        <v>21</v>
      </c>
      <c r="J12">
        <f t="shared" si="3"/>
        <v>181125.32896899999</v>
      </c>
      <c r="K12" t="s">
        <v>22</v>
      </c>
      <c r="L12" t="s">
        <v>23</v>
      </c>
      <c r="M12">
        <v>56.1</v>
      </c>
      <c r="N12">
        <v>1E-3</v>
      </c>
      <c r="O12">
        <v>1E-4</v>
      </c>
      <c r="Q12">
        <f t="shared" si="0"/>
        <v>180949.54020000002</v>
      </c>
      <c r="R12">
        <f>IF(OR(N12="",F12=""),"",F12*N12/1000*Lookups!$B$24)</f>
        <v>90.313496000000001</v>
      </c>
      <c r="S12">
        <f>IF(OR(O12="",F12=""),"",F12*O12/1000*Lookups!$B$25)</f>
        <v>85.475273000000001</v>
      </c>
      <c r="T12" t="str">
        <f t="shared" si="1"/>
        <v/>
      </c>
      <c r="U12" t="str">
        <f t="shared" si="2"/>
        <v/>
      </c>
    </row>
    <row r="13" spans="1:21" x14ac:dyDescent="0.3">
      <c r="A13">
        <v>1</v>
      </c>
      <c r="B13" t="s">
        <v>17</v>
      </c>
      <c r="C13" t="s">
        <v>18</v>
      </c>
      <c r="D13" t="s">
        <v>35</v>
      </c>
      <c r="F13">
        <v>3279240</v>
      </c>
      <c r="G13" t="s">
        <v>20</v>
      </c>
      <c r="H13" s="18">
        <f>M13+N13*Lookups!$B$24+O13*Lookups!$B$25</f>
        <v>56.154499999999999</v>
      </c>
      <c r="I13" t="s">
        <v>21</v>
      </c>
      <c r="J13">
        <f t="shared" si="3"/>
        <v>184144.08258000002</v>
      </c>
      <c r="K13" t="s">
        <v>22</v>
      </c>
      <c r="L13" t="s">
        <v>23</v>
      </c>
      <c r="M13">
        <v>56.1</v>
      </c>
      <c r="N13">
        <v>1E-3</v>
      </c>
      <c r="O13">
        <v>1E-4</v>
      </c>
      <c r="Q13">
        <f t="shared" si="0"/>
        <v>183965.364</v>
      </c>
      <c r="R13">
        <f>IF(OR(N13="",F13=""),"",F13*N13/1000*Lookups!$B$24)</f>
        <v>91.818719999999999</v>
      </c>
      <c r="S13">
        <f>IF(OR(O13="",F13=""),"",F13*O13/1000*Lookups!$B$25)</f>
        <v>86.899860000000018</v>
      </c>
      <c r="T13" t="str">
        <f t="shared" si="1"/>
        <v/>
      </c>
      <c r="U13" t="str">
        <f t="shared" si="2"/>
        <v/>
      </c>
    </row>
    <row r="14" spans="1:21" x14ac:dyDescent="0.3">
      <c r="A14">
        <v>1</v>
      </c>
      <c r="B14" t="s">
        <v>17</v>
      </c>
      <c r="C14" t="s">
        <v>18</v>
      </c>
      <c r="D14" t="s">
        <v>36</v>
      </c>
      <c r="F14">
        <v>3332998</v>
      </c>
      <c r="G14" t="s">
        <v>20</v>
      </c>
      <c r="H14" s="18">
        <f>M14+N14*Lookups!$B$24+O14*Lookups!$B$25</f>
        <v>56.154499999999999</v>
      </c>
      <c r="I14" t="s">
        <v>21</v>
      </c>
      <c r="J14">
        <f t="shared" si="3"/>
        <v>187162.83619100001</v>
      </c>
      <c r="K14" t="s">
        <v>22</v>
      </c>
      <c r="L14" t="s">
        <v>23</v>
      </c>
      <c r="M14">
        <v>56.1</v>
      </c>
      <c r="N14">
        <v>1E-3</v>
      </c>
      <c r="O14">
        <v>1E-4</v>
      </c>
      <c r="Q14">
        <f t="shared" si="0"/>
        <v>186981.18780000001</v>
      </c>
      <c r="R14">
        <f>IF(OR(N14="",F14=""),"",F14*N14/1000*Lookups!$B$24)</f>
        <v>93.323943999999997</v>
      </c>
      <c r="S14">
        <f>IF(OR(O14="",F14=""),"",F14*O14/1000*Lookups!$B$25)</f>
        <v>88.324446999999992</v>
      </c>
      <c r="T14" t="str">
        <f t="shared" si="1"/>
        <v/>
      </c>
      <c r="U14" t="str">
        <f t="shared" si="2"/>
        <v/>
      </c>
    </row>
    <row r="15" spans="1:21" x14ac:dyDescent="0.3">
      <c r="A15">
        <v>1</v>
      </c>
      <c r="B15" t="s">
        <v>17</v>
      </c>
      <c r="C15" t="s">
        <v>18</v>
      </c>
      <c r="D15" t="s">
        <v>37</v>
      </c>
      <c r="F15">
        <v>3386756</v>
      </c>
      <c r="G15" t="s">
        <v>20</v>
      </c>
      <c r="H15" s="18">
        <f>M15+N15*Lookups!$B$24+O15*Lookups!$B$25</f>
        <v>56.154499999999999</v>
      </c>
      <c r="I15" t="s">
        <v>21</v>
      </c>
      <c r="J15">
        <f t="shared" si="3"/>
        <v>190181.589802</v>
      </c>
      <c r="K15" t="s">
        <v>22</v>
      </c>
      <c r="L15" t="s">
        <v>23</v>
      </c>
      <c r="M15">
        <v>56.1</v>
      </c>
      <c r="N15">
        <v>1E-3</v>
      </c>
      <c r="O15">
        <v>1E-4</v>
      </c>
      <c r="Q15">
        <f t="shared" si="0"/>
        <v>189997.0116</v>
      </c>
      <c r="R15">
        <f>IF(OR(N15="",F15=""),"",F15*N15/1000*Lookups!$B$24)</f>
        <v>94.829167999999996</v>
      </c>
      <c r="S15">
        <f>IF(OR(O15="",F15=""),"",F15*O15/1000*Lookups!$B$25)</f>
        <v>89.749034000000009</v>
      </c>
      <c r="T15" t="str">
        <f t="shared" si="1"/>
        <v/>
      </c>
      <c r="U15" t="str">
        <f t="shared" si="2"/>
        <v/>
      </c>
    </row>
    <row r="16" spans="1:21" x14ac:dyDescent="0.3">
      <c r="A16">
        <v>1</v>
      </c>
      <c r="B16" t="s">
        <v>17</v>
      </c>
      <c r="C16" t="s">
        <v>38</v>
      </c>
      <c r="D16" t="s">
        <v>39</v>
      </c>
      <c r="F16">
        <v>1720257</v>
      </c>
      <c r="G16" t="s">
        <v>20</v>
      </c>
      <c r="H16" s="18">
        <f>M16+N16*Lookups!$B$24+O16*Lookups!$B$25</f>
        <v>58.054499999999997</v>
      </c>
      <c r="I16" t="s">
        <v>21</v>
      </c>
      <c r="J16">
        <f t="shared" si="3"/>
        <v>99868.660006499995</v>
      </c>
      <c r="K16" t="s">
        <v>22</v>
      </c>
      <c r="L16" t="s">
        <v>23</v>
      </c>
      <c r="M16">
        <v>58</v>
      </c>
      <c r="N16">
        <v>1E-3</v>
      </c>
      <c r="O16">
        <v>1E-4</v>
      </c>
      <c r="Q16">
        <f t="shared" si="0"/>
        <v>99774.906000000003</v>
      </c>
      <c r="R16">
        <f>IF(OR(N16="",F16=""),"",F16*N16/1000*Lookups!$B$24)</f>
        <v>48.167196000000004</v>
      </c>
      <c r="S16">
        <f>IF(OR(O16="",F16=""),"",F16*O16/1000*Lookups!$B$25)</f>
        <v>45.586810499999999</v>
      </c>
      <c r="T16" t="str">
        <f t="shared" si="1"/>
        <v/>
      </c>
      <c r="U16" t="str">
        <f t="shared" si="2"/>
        <v/>
      </c>
    </row>
    <row r="17" spans="1:21" x14ac:dyDescent="0.3">
      <c r="A17">
        <v>1</v>
      </c>
      <c r="B17" t="s">
        <v>17</v>
      </c>
      <c r="C17" t="s">
        <v>38</v>
      </c>
      <c r="D17" t="s">
        <v>40</v>
      </c>
      <c r="F17">
        <v>1747136</v>
      </c>
      <c r="G17" t="s">
        <v>20</v>
      </c>
      <c r="H17" s="18">
        <f>M17+N17*Lookups!$B$24+O17*Lookups!$B$25</f>
        <v>58.054499999999997</v>
      </c>
      <c r="I17" t="s">
        <v>21</v>
      </c>
      <c r="J17">
        <f t="shared" si="3"/>
        <v>101429.10691200002</v>
      </c>
      <c r="K17" t="s">
        <v>22</v>
      </c>
      <c r="L17" t="s">
        <v>23</v>
      </c>
      <c r="M17">
        <v>58</v>
      </c>
      <c r="N17">
        <v>1E-3</v>
      </c>
      <c r="O17">
        <v>1E-4</v>
      </c>
      <c r="Q17">
        <f t="shared" si="0"/>
        <v>101333.88800000001</v>
      </c>
      <c r="R17">
        <f>IF(OR(N17="",F17=""),"",F17*N17/1000*Lookups!$B$24)</f>
        <v>48.919808000000003</v>
      </c>
      <c r="S17">
        <f>IF(OR(O17="",F17=""),"",F17*O17/1000*Lookups!$B$25)</f>
        <v>46.299104000000007</v>
      </c>
      <c r="T17" t="str">
        <f t="shared" si="1"/>
        <v/>
      </c>
      <c r="U17" t="str">
        <f t="shared" si="2"/>
        <v/>
      </c>
    </row>
    <row r="18" spans="1:21" x14ac:dyDescent="0.3">
      <c r="A18">
        <v>1</v>
      </c>
      <c r="B18" t="s">
        <v>17</v>
      </c>
      <c r="C18" t="s">
        <v>41</v>
      </c>
      <c r="D18" t="s">
        <v>41</v>
      </c>
      <c r="E18" t="s">
        <v>42</v>
      </c>
      <c r="F18">
        <v>15000</v>
      </c>
      <c r="G18" t="s">
        <v>20</v>
      </c>
      <c r="H18" s="18">
        <f>M18+N18*Lookups!$B$24+O18*Lookups!$B$25</f>
        <v>77.643000000000015</v>
      </c>
      <c r="I18" t="s">
        <v>21</v>
      </c>
      <c r="J18">
        <f t="shared" si="3"/>
        <v>1164.645</v>
      </c>
      <c r="K18" t="s">
        <v>22</v>
      </c>
      <c r="L18" t="s">
        <v>23</v>
      </c>
      <c r="M18">
        <v>77.400000000000006</v>
      </c>
      <c r="N18">
        <v>3.0000000000000001E-3</v>
      </c>
      <c r="O18">
        <v>5.9999999999999995E-4</v>
      </c>
      <c r="Q18">
        <f t="shared" si="0"/>
        <v>1161</v>
      </c>
      <c r="R18">
        <f>IF(OR(N18="",F18=""),"",F18*N18/1000*Lookups!$B$24)</f>
        <v>1.26</v>
      </c>
      <c r="S18">
        <f>IF(OR(O18="",F18=""),"",F18*O18/1000*Lookups!$B$25)</f>
        <v>2.3849999999999998</v>
      </c>
      <c r="T18" t="str">
        <f t="shared" si="1"/>
        <v/>
      </c>
      <c r="U18" t="str">
        <f t="shared" si="2"/>
        <v/>
      </c>
    </row>
    <row r="19" spans="1:21" x14ac:dyDescent="0.3">
      <c r="A19">
        <v>1</v>
      </c>
      <c r="B19" t="s">
        <v>17</v>
      </c>
      <c r="C19" t="s">
        <v>43</v>
      </c>
      <c r="D19" t="s">
        <v>44</v>
      </c>
      <c r="F19">
        <v>10000</v>
      </c>
      <c r="G19" t="s">
        <v>45</v>
      </c>
      <c r="H19" s="18">
        <f>M19+N19*Lookups!$B$24+O19*Lookups!$B$25</f>
        <v>2.6887745000000001</v>
      </c>
      <c r="I19" t="s">
        <v>46</v>
      </c>
      <c r="J19">
        <f t="shared" si="3"/>
        <v>26.887744999999999</v>
      </c>
      <c r="K19" t="s">
        <v>47</v>
      </c>
      <c r="L19" t="s">
        <v>174</v>
      </c>
      <c r="M19">
        <v>2.68</v>
      </c>
      <c r="N19">
        <v>1.08E-4</v>
      </c>
      <c r="O19">
        <v>2.1699999999999999E-5</v>
      </c>
      <c r="Q19">
        <f t="shared" si="0"/>
        <v>26.8</v>
      </c>
      <c r="R19">
        <f>IF(OR(N19="",F19=""),"",F19*N19/1000*Lookups!$B$24)</f>
        <v>3.0239999999999996E-2</v>
      </c>
      <c r="S19">
        <f>IF(OR(O19="",F19=""),"",F19*O19/1000*Lookups!$B$25)</f>
        <v>5.7505000000000001E-2</v>
      </c>
      <c r="T19" t="str">
        <f t="shared" si="1"/>
        <v/>
      </c>
      <c r="U19" t="str">
        <f t="shared" si="2"/>
        <v/>
      </c>
    </row>
    <row r="20" spans="1:21" x14ac:dyDescent="0.3">
      <c r="A20">
        <v>1</v>
      </c>
      <c r="B20" t="s">
        <v>17</v>
      </c>
      <c r="C20" t="s">
        <v>43</v>
      </c>
      <c r="D20" t="s">
        <v>49</v>
      </c>
      <c r="F20">
        <v>6000</v>
      </c>
      <c r="G20" t="s">
        <v>45</v>
      </c>
      <c r="H20" s="18">
        <f>M20+N20*Lookups!$B$24+O20*Lookups!$B$25</f>
        <v>2.6887745000000001</v>
      </c>
      <c r="I20" t="s">
        <v>46</v>
      </c>
      <c r="J20">
        <f t="shared" si="3"/>
        <v>16.132647000000002</v>
      </c>
      <c r="K20" t="s">
        <v>47</v>
      </c>
      <c r="L20" t="s">
        <v>174</v>
      </c>
      <c r="M20">
        <v>2.68</v>
      </c>
      <c r="N20">
        <v>1.08E-4</v>
      </c>
      <c r="O20">
        <v>2.1699999999999999E-5</v>
      </c>
      <c r="Q20">
        <f t="shared" si="0"/>
        <v>16.080000000000002</v>
      </c>
      <c r="R20">
        <f>IF(OR(N20="",F20=""),"",F20*N20/1000*Lookups!$B$24)</f>
        <v>1.8144E-2</v>
      </c>
      <c r="S20">
        <f>IF(OR(O20="",F20=""),"",F20*O20/1000*Lookups!$B$25)</f>
        <v>3.4502999999999999E-2</v>
      </c>
      <c r="T20" t="str">
        <f t="shared" si="1"/>
        <v/>
      </c>
      <c r="U20" t="str">
        <f t="shared" si="2"/>
        <v/>
      </c>
    </row>
    <row r="21" spans="1:21" x14ac:dyDescent="0.3">
      <c r="A21">
        <v>1</v>
      </c>
      <c r="B21" t="s">
        <v>50</v>
      </c>
      <c r="C21" t="s">
        <v>51</v>
      </c>
      <c r="D21" t="s">
        <v>52</v>
      </c>
      <c r="F21">
        <v>180000</v>
      </c>
      <c r="G21" t="s">
        <v>53</v>
      </c>
      <c r="H21" s="18">
        <f>M21+N21*Lookups!$B$24+O21*Lookups!$B$25</f>
        <v>2.7213129999999999</v>
      </c>
      <c r="I21" t="s">
        <v>46</v>
      </c>
      <c r="J21">
        <f t="shared" si="3"/>
        <v>489.83634000000001</v>
      </c>
      <c r="K21" t="s">
        <v>47</v>
      </c>
      <c r="L21" t="s">
        <v>174</v>
      </c>
      <c r="M21">
        <v>2.68</v>
      </c>
      <c r="N21">
        <v>1.4100000000000001E-4</v>
      </c>
      <c r="O21">
        <v>1.4100000000000001E-4</v>
      </c>
      <c r="Q21">
        <f t="shared" si="0"/>
        <v>482.4</v>
      </c>
      <c r="R21">
        <f>IF(OR(N21="",F21=""),"",F21*N21/1000*Lookups!$B$24)</f>
        <v>0.71064000000000005</v>
      </c>
      <c r="S21">
        <f>IF(OR(O21="",F21=""),"",F21*O21/1000*Lookups!$B$25)</f>
        <v>6.7257000000000007</v>
      </c>
      <c r="T21" t="str">
        <f t="shared" si="1"/>
        <v/>
      </c>
      <c r="U21" t="str">
        <f t="shared" si="2"/>
        <v/>
      </c>
    </row>
    <row r="22" spans="1:21" x14ac:dyDescent="0.3">
      <c r="A22">
        <v>1</v>
      </c>
      <c r="B22" t="s">
        <v>50</v>
      </c>
      <c r="C22" t="s">
        <v>51</v>
      </c>
      <c r="D22" t="s">
        <v>54</v>
      </c>
      <c r="F22">
        <v>20000</v>
      </c>
      <c r="G22" t="s">
        <v>53</v>
      </c>
      <c r="H22" s="18">
        <f>M22+N22*Lookups!$B$24+O22*Lookups!$B$25</f>
        <v>2.7213129999999999</v>
      </c>
      <c r="I22" t="s">
        <v>46</v>
      </c>
      <c r="J22">
        <f t="shared" si="3"/>
        <v>54.426260000000006</v>
      </c>
      <c r="K22" t="s">
        <v>47</v>
      </c>
      <c r="L22" t="s">
        <v>174</v>
      </c>
      <c r="M22">
        <v>2.68</v>
      </c>
      <c r="N22">
        <v>1.4100000000000001E-4</v>
      </c>
      <c r="O22">
        <v>1.4100000000000001E-4</v>
      </c>
      <c r="Q22">
        <f t="shared" si="0"/>
        <v>53.6</v>
      </c>
      <c r="R22">
        <f>IF(OR(N22="",F22=""),"",F22*N22/1000*Lookups!$B$24)</f>
        <v>7.8960000000000016E-2</v>
      </c>
      <c r="S22">
        <f>IF(OR(O22="",F22=""),"",F22*O22/1000*Lookups!$B$25)</f>
        <v>0.74730000000000008</v>
      </c>
      <c r="T22" t="str">
        <f t="shared" si="1"/>
        <v/>
      </c>
      <c r="U22" t="str">
        <f t="shared" si="2"/>
        <v/>
      </c>
    </row>
    <row r="23" spans="1:21" x14ac:dyDescent="0.3">
      <c r="A23">
        <v>1</v>
      </c>
      <c r="B23" t="s">
        <v>50</v>
      </c>
      <c r="C23" t="s">
        <v>51</v>
      </c>
      <c r="D23" t="s">
        <v>55</v>
      </c>
      <c r="F23">
        <v>28500</v>
      </c>
      <c r="G23" t="s">
        <v>53</v>
      </c>
      <c r="H23" s="18">
        <f>M23+N23*Lookups!$B$24+O23*Lookups!$B$25</f>
        <v>2.7213129999999999</v>
      </c>
      <c r="I23" t="s">
        <v>46</v>
      </c>
      <c r="J23">
        <f t="shared" si="3"/>
        <v>77.557420499999992</v>
      </c>
      <c r="K23" t="s">
        <v>47</v>
      </c>
      <c r="L23" t="s">
        <v>174</v>
      </c>
      <c r="M23">
        <v>2.68</v>
      </c>
      <c r="N23">
        <v>1.4100000000000001E-4</v>
      </c>
      <c r="O23">
        <v>1.4100000000000001E-4</v>
      </c>
      <c r="Q23">
        <f t="shared" si="0"/>
        <v>76.38</v>
      </c>
      <c r="R23">
        <f>IF(OR(N23="",F23=""),"",F23*N23/1000*Lookups!$B$24)</f>
        <v>0.11251800000000001</v>
      </c>
      <c r="S23">
        <f>IF(OR(O23="",F23=""),"",F23*O23/1000*Lookups!$B$25)</f>
        <v>1.0649025000000001</v>
      </c>
      <c r="T23" t="str">
        <f t="shared" si="1"/>
        <v/>
      </c>
      <c r="U23" t="str">
        <f t="shared" si="2"/>
        <v/>
      </c>
    </row>
    <row r="24" spans="1:21" x14ac:dyDescent="0.3">
      <c r="A24">
        <v>1</v>
      </c>
      <c r="B24" t="s">
        <v>50</v>
      </c>
      <c r="C24" t="s">
        <v>51</v>
      </c>
      <c r="D24" t="s">
        <v>56</v>
      </c>
      <c r="F24">
        <v>29000</v>
      </c>
      <c r="G24" t="s">
        <v>53</v>
      </c>
      <c r="H24" s="18">
        <f>M24+N24*Lookups!$B$24+O24*Lookups!$B$25</f>
        <v>2.7213129999999999</v>
      </c>
      <c r="I24" t="s">
        <v>46</v>
      </c>
      <c r="J24">
        <f t="shared" si="3"/>
        <v>78.918076999999997</v>
      </c>
      <c r="K24" t="s">
        <v>47</v>
      </c>
      <c r="L24" t="s">
        <v>174</v>
      </c>
      <c r="M24">
        <v>2.68</v>
      </c>
      <c r="N24">
        <v>1.4100000000000001E-4</v>
      </c>
      <c r="O24">
        <v>1.4100000000000001E-4</v>
      </c>
      <c r="Q24">
        <f t="shared" si="0"/>
        <v>77.72</v>
      </c>
      <c r="R24">
        <f>IF(OR(N24="",F24=""),"",F24*N24/1000*Lookups!$B$24)</f>
        <v>0.11449200000000001</v>
      </c>
      <c r="S24">
        <f>IF(OR(O24="",F24=""),"",F24*O24/1000*Lookups!$B$25)</f>
        <v>1.0835850000000002</v>
      </c>
      <c r="T24" t="str">
        <f t="shared" si="1"/>
        <v/>
      </c>
      <c r="U24" t="str">
        <f t="shared" si="2"/>
        <v/>
      </c>
    </row>
    <row r="25" spans="1:21" x14ac:dyDescent="0.3">
      <c r="A25">
        <v>1</v>
      </c>
      <c r="B25" t="s">
        <v>57</v>
      </c>
      <c r="C25" t="s">
        <v>58</v>
      </c>
      <c r="D25" t="s">
        <v>59</v>
      </c>
      <c r="F25">
        <v>8124251</v>
      </c>
      <c r="G25" t="s">
        <v>60</v>
      </c>
      <c r="H25" s="18">
        <f>M25+N25*Lookups!$B$24+O25*Lookups!$B$25</f>
        <v>0.15</v>
      </c>
      <c r="I25" t="s">
        <v>61</v>
      </c>
      <c r="J25">
        <f t="shared" si="3"/>
        <v>1218.6376499999999</v>
      </c>
      <c r="K25" t="s">
        <v>22</v>
      </c>
      <c r="L25" s="37" t="s">
        <v>175</v>
      </c>
      <c r="M25">
        <v>0.15</v>
      </c>
      <c r="N25">
        <v>0</v>
      </c>
      <c r="O25">
        <v>0</v>
      </c>
      <c r="Q25">
        <f t="shared" si="0"/>
        <v>1218.6376499999999</v>
      </c>
      <c r="R25">
        <f>IF(OR(N25="",F25=""),"",F25*N25/1000*Lookups!$B$24)</f>
        <v>0</v>
      </c>
      <c r="S25">
        <f>IF(OR(O25="",F25=""),"",F25*O25/1000*Lookups!$B$25)</f>
        <v>0</v>
      </c>
      <c r="T25" t="str">
        <f t="shared" si="1"/>
        <v/>
      </c>
      <c r="U25" t="str">
        <f t="shared" si="2"/>
        <v/>
      </c>
    </row>
    <row r="26" spans="1:21" x14ac:dyDescent="0.3">
      <c r="A26">
        <v>1</v>
      </c>
      <c r="B26" t="s">
        <v>57</v>
      </c>
      <c r="C26" t="s">
        <v>58</v>
      </c>
      <c r="D26" t="s">
        <v>62</v>
      </c>
      <c r="F26">
        <v>406213</v>
      </c>
      <c r="G26" t="s">
        <v>60</v>
      </c>
      <c r="H26" s="18">
        <f>M26+N26*Lookups!$B$24+O26*Lookups!$B$25</f>
        <v>0.15</v>
      </c>
      <c r="I26" t="s">
        <v>61</v>
      </c>
      <c r="J26">
        <f t="shared" si="3"/>
        <v>60.931950000000001</v>
      </c>
      <c r="K26" t="s">
        <v>22</v>
      </c>
      <c r="L26" s="37" t="s">
        <v>175</v>
      </c>
      <c r="M26">
        <v>0.15</v>
      </c>
      <c r="N26">
        <v>0</v>
      </c>
      <c r="O26">
        <v>0</v>
      </c>
      <c r="Q26">
        <f t="shared" si="0"/>
        <v>60.931950000000001</v>
      </c>
      <c r="R26">
        <f>IF(OR(N26="",F26=""),"",F26*N26/1000*Lookups!$B$24)</f>
        <v>0</v>
      </c>
      <c r="S26">
        <f>IF(OR(O26="",F26=""),"",F26*O26/1000*Lookups!$B$25)</f>
        <v>0</v>
      </c>
      <c r="T26" t="str">
        <f t="shared" si="1"/>
        <v/>
      </c>
      <c r="U26" t="str">
        <f t="shared" si="2"/>
        <v/>
      </c>
    </row>
    <row r="27" spans="1:21" s="36" customFormat="1" x14ac:dyDescent="0.3">
      <c r="A27" s="37">
        <v>1</v>
      </c>
      <c r="B27" s="37" t="s">
        <v>57</v>
      </c>
      <c r="C27" s="37" t="s">
        <v>58</v>
      </c>
      <c r="D27" s="37" t="s">
        <v>63</v>
      </c>
      <c r="E27" s="37"/>
      <c r="F27" s="37">
        <v>2031063</v>
      </c>
      <c r="G27" s="37" t="s">
        <v>60</v>
      </c>
      <c r="H27" s="38">
        <f>M27+N27*Lookups!$B$24+O27*Lookups!$B$25</f>
        <v>0.15</v>
      </c>
      <c r="I27" s="37" t="s">
        <v>61</v>
      </c>
      <c r="J27" s="37">
        <f t="shared" si="3"/>
        <v>304.65944999999999</v>
      </c>
      <c r="K27" s="37" t="s">
        <v>22</v>
      </c>
      <c r="L27" s="37" t="s">
        <v>175</v>
      </c>
      <c r="M27" s="36">
        <v>0.15</v>
      </c>
      <c r="N27" s="36">
        <v>0</v>
      </c>
      <c r="O27" s="36">
        <v>0</v>
      </c>
      <c r="Q27" s="36">
        <f t="shared" si="0"/>
        <v>304.65944999999999</v>
      </c>
      <c r="R27" s="36">
        <f>IF(OR(N27="",F27=""),"",F27*N27/1000*Lookups!$B$24)</f>
        <v>0</v>
      </c>
      <c r="S27" s="36">
        <f>IF(OR(O27="",F27=""),"",F27*O27/1000*Lookups!$B$25)</f>
        <v>0</v>
      </c>
      <c r="T27" s="36" t="str">
        <f t="shared" si="1"/>
        <v/>
      </c>
      <c r="U27" s="36" t="str">
        <f t="shared" si="2"/>
        <v/>
      </c>
    </row>
    <row r="28" spans="1:21" s="36" customFormat="1" x14ac:dyDescent="0.3">
      <c r="A28" s="37">
        <v>1</v>
      </c>
      <c r="B28" s="37" t="s">
        <v>57</v>
      </c>
      <c r="C28" s="37" t="s">
        <v>58</v>
      </c>
      <c r="D28" s="37" t="s">
        <v>64</v>
      </c>
      <c r="E28" s="37"/>
      <c r="F28" s="37">
        <v>812425</v>
      </c>
      <c r="G28" s="37" t="s">
        <v>60</v>
      </c>
      <c r="H28" s="38">
        <f>M28+N28*Lookups!$B$24+O28*Lookups!$B$25</f>
        <v>0.15</v>
      </c>
      <c r="I28" s="37" t="s">
        <v>61</v>
      </c>
      <c r="J28" s="37">
        <f t="shared" si="3"/>
        <v>121.86375</v>
      </c>
      <c r="K28" s="37" t="s">
        <v>22</v>
      </c>
      <c r="L28" s="37" t="s">
        <v>175</v>
      </c>
      <c r="M28" s="36">
        <v>0.15</v>
      </c>
      <c r="N28" s="36">
        <v>0</v>
      </c>
      <c r="O28" s="36">
        <v>0</v>
      </c>
      <c r="Q28" s="36">
        <f t="shared" si="0"/>
        <v>121.86375</v>
      </c>
      <c r="R28" s="36">
        <f>IF(OR(N28="",F28=""),"",F28*N28/1000*Lookups!$B$24)</f>
        <v>0</v>
      </c>
      <c r="S28" s="36">
        <f>IF(OR(O28="",F28=""),"",F28*O28/1000*Lookups!$B$25)</f>
        <v>0</v>
      </c>
      <c r="T28" s="36" t="str">
        <f t="shared" si="1"/>
        <v/>
      </c>
      <c r="U28" s="36" t="str">
        <f t="shared" si="2"/>
        <v/>
      </c>
    </row>
    <row r="29" spans="1:21" s="36" customFormat="1" x14ac:dyDescent="0.3">
      <c r="A29" s="37">
        <v>1</v>
      </c>
      <c r="B29" s="37" t="s">
        <v>57</v>
      </c>
      <c r="C29" s="37" t="s">
        <v>58</v>
      </c>
      <c r="D29" s="37" t="s">
        <v>65</v>
      </c>
      <c r="E29" s="37"/>
      <c r="F29" s="37">
        <v>2843488</v>
      </c>
      <c r="G29" s="37" t="s">
        <v>60</v>
      </c>
      <c r="H29" s="38">
        <f>M29+N29*Lookups!$B$24+O29*Lookups!$B$25</f>
        <v>0.15</v>
      </c>
      <c r="I29" s="37" t="s">
        <v>61</v>
      </c>
      <c r="J29" s="37">
        <f t="shared" si="3"/>
        <v>426.52320000000003</v>
      </c>
      <c r="K29" s="37" t="s">
        <v>22</v>
      </c>
      <c r="L29" s="37" t="s">
        <v>175</v>
      </c>
      <c r="M29" s="36">
        <v>0.15</v>
      </c>
      <c r="N29" s="36">
        <v>0</v>
      </c>
      <c r="O29" s="36">
        <v>0</v>
      </c>
      <c r="Q29" s="36">
        <f t="shared" si="0"/>
        <v>426.52320000000003</v>
      </c>
      <c r="R29" s="36">
        <f>IF(OR(N29="",F29=""),"",F29*N29/1000*Lookups!$B$24)</f>
        <v>0</v>
      </c>
      <c r="S29" s="36">
        <f>IF(OR(O29="",F29=""),"",F29*O29/1000*Lookups!$B$25)</f>
        <v>0</v>
      </c>
      <c r="T29" s="36" t="str">
        <f t="shared" si="1"/>
        <v/>
      </c>
      <c r="U29" s="36" t="str">
        <f t="shared" si="2"/>
        <v/>
      </c>
    </row>
    <row r="30" spans="1:21" x14ac:dyDescent="0.3">
      <c r="A30">
        <v>1</v>
      </c>
      <c r="B30" t="s">
        <v>57</v>
      </c>
      <c r="C30" t="s">
        <v>66</v>
      </c>
      <c r="D30" t="s">
        <v>66</v>
      </c>
      <c r="E30" t="s">
        <v>67</v>
      </c>
      <c r="F30">
        <v>6336916</v>
      </c>
      <c r="G30" t="s">
        <v>68</v>
      </c>
      <c r="H30" s="18">
        <f>M30+N30*Lookups!$B$24+O30*Lookups!$B$25</f>
        <v>0.12</v>
      </c>
      <c r="I30" t="s">
        <v>61</v>
      </c>
      <c r="J30">
        <f t="shared" si="3"/>
        <v>760.42991999999992</v>
      </c>
      <c r="K30" t="s">
        <v>22</v>
      </c>
      <c r="L30" s="37" t="s">
        <v>175</v>
      </c>
      <c r="M30">
        <v>0.12</v>
      </c>
      <c r="N30">
        <v>0</v>
      </c>
      <c r="O30">
        <v>0</v>
      </c>
      <c r="Q30">
        <f t="shared" si="0"/>
        <v>760.42991999999992</v>
      </c>
      <c r="R30">
        <f>IF(OR(N30="",F30=""),"",F30*N30/1000*Lookups!$B$24)</f>
        <v>0</v>
      </c>
      <c r="S30">
        <f>IF(OR(O30="",F30=""),"",F30*O30/1000*Lookups!$B$25)</f>
        <v>0</v>
      </c>
      <c r="T30" t="str">
        <f t="shared" si="1"/>
        <v/>
      </c>
      <c r="U30" t="str">
        <f t="shared" si="2"/>
        <v/>
      </c>
    </row>
    <row r="31" spans="1:21" x14ac:dyDescent="0.3">
      <c r="A31">
        <v>1</v>
      </c>
      <c r="B31" t="s">
        <v>57</v>
      </c>
      <c r="C31" t="s">
        <v>69</v>
      </c>
      <c r="D31" t="s">
        <v>69</v>
      </c>
      <c r="E31" t="s">
        <v>70</v>
      </c>
      <c r="F31">
        <v>200</v>
      </c>
      <c r="G31" t="s">
        <v>71</v>
      </c>
      <c r="H31" s="18">
        <f>M31+N31*Lookups!$B$24+O31*Lookups!$B$25</f>
        <v>1</v>
      </c>
      <c r="I31" t="s">
        <v>72</v>
      </c>
      <c r="J31">
        <f t="shared" si="3"/>
        <v>0.2</v>
      </c>
      <c r="K31" t="s">
        <v>47</v>
      </c>
      <c r="L31" t="s">
        <v>48</v>
      </c>
      <c r="M31">
        <v>1</v>
      </c>
      <c r="N31">
        <v>0</v>
      </c>
      <c r="O31">
        <v>0</v>
      </c>
      <c r="Q31">
        <f t="shared" si="0"/>
        <v>0.2</v>
      </c>
      <c r="R31">
        <f>IF(OR(N31="",F31=""),"",F31*N31/1000*Lookups!$B$24)</f>
        <v>0</v>
      </c>
      <c r="S31">
        <f>IF(OR(O31="",F31=""),"",F31*O31/1000*Lookups!$B$25)</f>
        <v>0</v>
      </c>
      <c r="T31" t="str">
        <f t="shared" si="1"/>
        <v/>
      </c>
      <c r="U31" t="str">
        <f t="shared" si="2"/>
        <v/>
      </c>
    </row>
    <row r="32" spans="1:21" s="36" customFormat="1" x14ac:dyDescent="0.3">
      <c r="A32" s="37">
        <v>1</v>
      </c>
      <c r="B32" s="37" t="s">
        <v>57</v>
      </c>
      <c r="C32" s="37" t="s">
        <v>73</v>
      </c>
      <c r="D32" s="37" t="s">
        <v>74</v>
      </c>
      <c r="F32" s="37">
        <v>45</v>
      </c>
      <c r="G32" s="37" t="s">
        <v>75</v>
      </c>
      <c r="H32" s="38">
        <v>1.3</v>
      </c>
      <c r="I32" s="37" t="s">
        <v>76</v>
      </c>
      <c r="J32" s="37">
        <f t="shared" si="3"/>
        <v>58.5</v>
      </c>
      <c r="K32" s="37" t="s">
        <v>47</v>
      </c>
      <c r="L32" s="37" t="s">
        <v>48</v>
      </c>
      <c r="M32" s="36">
        <v>0</v>
      </c>
      <c r="N32" s="36">
        <v>0</v>
      </c>
      <c r="O32" s="36">
        <v>0</v>
      </c>
      <c r="P32" s="36">
        <v>45</v>
      </c>
      <c r="Q32" s="36">
        <f t="shared" si="0"/>
        <v>0</v>
      </c>
      <c r="R32" s="36">
        <f>IF(OR(N32="",F32=""),"",F32*N32/1000*Lookups!$B$24)</f>
        <v>0</v>
      </c>
      <c r="S32" s="36">
        <f>IF(OR(O32="",F32=""),"",F32*O32/1000*Lookups!$B$25)</f>
        <v>0</v>
      </c>
      <c r="T32" s="36">
        <f>IF(AND($B32="Fugitive emissions",$C32="Refrigerant leaks"),F32*H32,"")</f>
        <v>58.5</v>
      </c>
      <c r="U32" s="36">
        <f t="shared" si="2"/>
        <v>4.4999999999999998E-2</v>
      </c>
    </row>
    <row r="33" spans="1:21" s="36" customFormat="1" x14ac:dyDescent="0.3">
      <c r="A33" s="37">
        <v>1</v>
      </c>
      <c r="B33" s="37" t="s">
        <v>57</v>
      </c>
      <c r="C33" s="37" t="s">
        <v>73</v>
      </c>
      <c r="D33" s="37" t="s">
        <v>77</v>
      </c>
      <c r="F33" s="37">
        <v>60</v>
      </c>
      <c r="G33" s="37" t="s">
        <v>75</v>
      </c>
      <c r="H33" s="38">
        <v>1.9235</v>
      </c>
      <c r="I33" s="37" t="s">
        <v>76</v>
      </c>
      <c r="J33" s="37">
        <f t="shared" si="3"/>
        <v>115.41</v>
      </c>
      <c r="K33" s="37" t="s">
        <v>47</v>
      </c>
      <c r="L33" s="37" t="s">
        <v>48</v>
      </c>
      <c r="M33" s="36">
        <v>0</v>
      </c>
      <c r="N33" s="36">
        <v>0</v>
      </c>
      <c r="O33" s="36">
        <v>0</v>
      </c>
      <c r="P33" s="36">
        <v>60</v>
      </c>
      <c r="Q33" s="36">
        <f t="shared" si="0"/>
        <v>0</v>
      </c>
      <c r="R33" s="36">
        <f>IF(OR(N33="",F33=""),"",F33*N33/1000*Lookups!$B$24)</f>
        <v>0</v>
      </c>
      <c r="S33" s="36">
        <f>IF(OR(O33="",F33=""),"",F33*O33/1000*Lookups!$B$25)</f>
        <v>0</v>
      </c>
      <c r="T33" s="36">
        <f t="shared" ref="T33:T35" si="4">IF(AND($B33="Fugitive emissions",$C33="Refrigerant leaks"),F33*H33,"")</f>
        <v>115.41</v>
      </c>
      <c r="U33" s="36">
        <f t="shared" si="2"/>
        <v>0.06</v>
      </c>
    </row>
    <row r="34" spans="1:21" s="36" customFormat="1" x14ac:dyDescent="0.3">
      <c r="A34" s="37">
        <v>1</v>
      </c>
      <c r="B34" s="37" t="s">
        <v>57</v>
      </c>
      <c r="C34" s="37" t="s">
        <v>73</v>
      </c>
      <c r="D34" s="37" t="s">
        <v>78</v>
      </c>
      <c r="F34" s="37">
        <v>30</v>
      </c>
      <c r="G34" s="37" t="s">
        <v>75</v>
      </c>
      <c r="H34" s="38">
        <v>1.6242099999999999</v>
      </c>
      <c r="I34" s="37" t="s">
        <v>76</v>
      </c>
      <c r="J34" s="37">
        <f t="shared" si="3"/>
        <v>48.726299999999995</v>
      </c>
      <c r="K34" s="37" t="s">
        <v>47</v>
      </c>
      <c r="L34" s="37" t="s">
        <v>48</v>
      </c>
      <c r="M34" s="36">
        <v>0</v>
      </c>
      <c r="N34" s="36">
        <v>0</v>
      </c>
      <c r="O34" s="36">
        <v>0</v>
      </c>
      <c r="P34" s="36">
        <v>30</v>
      </c>
      <c r="Q34" s="36">
        <f t="shared" ref="Q34:Q51" si="5">IF(OR(M34="",F34=""),"",F34*M34/1000)</f>
        <v>0</v>
      </c>
      <c r="R34" s="36">
        <f>IF(OR(N34="",F34=""),"",F34*N34/1000*Lookups!$B$24)</f>
        <v>0</v>
      </c>
      <c r="S34" s="36">
        <f>IF(OR(O34="",F34=""),"",F34*O34/1000*Lookups!$B$25)</f>
        <v>0</v>
      </c>
      <c r="T34" s="36">
        <f t="shared" si="4"/>
        <v>48.726299999999995</v>
      </c>
      <c r="U34" s="36">
        <f t="shared" ref="U34:U51" si="6">IF(AND($B34="Fugitive emissions",$C34="Refrigerant leaks"),F34/1000,"")</f>
        <v>0.03</v>
      </c>
    </row>
    <row r="35" spans="1:21" s="36" customFormat="1" x14ac:dyDescent="0.3">
      <c r="A35" s="37">
        <v>1</v>
      </c>
      <c r="B35" s="37" t="s">
        <v>57</v>
      </c>
      <c r="C35" s="37" t="s">
        <v>73</v>
      </c>
      <c r="D35" s="37" t="s">
        <v>79</v>
      </c>
      <c r="F35" s="37">
        <v>15</v>
      </c>
      <c r="G35" s="37" t="s">
        <v>75</v>
      </c>
      <c r="H35" s="38">
        <v>3.9428000000000001</v>
      </c>
      <c r="I35" s="37" t="s">
        <v>76</v>
      </c>
      <c r="J35" s="37">
        <f t="shared" si="3"/>
        <v>59.142000000000003</v>
      </c>
      <c r="K35" s="37" t="s">
        <v>47</v>
      </c>
      <c r="L35" s="37" t="s">
        <v>48</v>
      </c>
      <c r="M35" s="36">
        <v>0</v>
      </c>
      <c r="N35" s="36">
        <v>0</v>
      </c>
      <c r="O35" s="36">
        <v>0</v>
      </c>
      <c r="P35" s="36">
        <v>15</v>
      </c>
      <c r="Q35" s="36">
        <f t="shared" si="5"/>
        <v>0</v>
      </c>
      <c r="R35" s="36">
        <f>IF(OR(N35="",F35=""),"",F35*N35/1000*Lookups!$B$24)</f>
        <v>0</v>
      </c>
      <c r="S35" s="36">
        <f>IF(OR(O35="",F35=""),"",F35*O35/1000*Lookups!$B$25)</f>
        <v>0</v>
      </c>
      <c r="T35" s="36">
        <f t="shared" si="4"/>
        <v>59.142000000000003</v>
      </c>
      <c r="U35" s="36">
        <f t="shared" si="6"/>
        <v>1.4999999999999999E-2</v>
      </c>
    </row>
    <row r="36" spans="1:21" x14ac:dyDescent="0.3">
      <c r="A36">
        <v>1</v>
      </c>
      <c r="B36" t="s">
        <v>80</v>
      </c>
      <c r="C36" t="s">
        <v>81</v>
      </c>
      <c r="D36" t="s">
        <v>81</v>
      </c>
      <c r="E36" t="s">
        <v>82</v>
      </c>
      <c r="F36">
        <v>45000</v>
      </c>
      <c r="G36" t="s">
        <v>83</v>
      </c>
      <c r="H36" s="18">
        <f>M36+N36*Lookups!$B$24+O36*Lookups!$B$25</f>
        <v>3.2</v>
      </c>
      <c r="I36" t="s">
        <v>84</v>
      </c>
      <c r="J36">
        <f t="shared" si="3"/>
        <v>144</v>
      </c>
      <c r="K36" t="s">
        <v>85</v>
      </c>
      <c r="L36" t="s">
        <v>86</v>
      </c>
      <c r="M36">
        <v>3.2</v>
      </c>
      <c r="N36">
        <v>0</v>
      </c>
      <c r="O36">
        <v>0</v>
      </c>
      <c r="Q36">
        <f t="shared" si="5"/>
        <v>144</v>
      </c>
      <c r="R36">
        <f>IF(OR(N36="",F36=""),"",F36*N36/1000*Lookups!$B$24)</f>
        <v>0</v>
      </c>
      <c r="S36">
        <f>IF(OR(O36="",F36=""),"",F36*O36/1000*Lookups!$B$25)</f>
        <v>0</v>
      </c>
      <c r="T36" t="str">
        <f t="shared" ref="T36:T51" si="7">IF(AND($B36="Fugitive emissions",$C36="Refrigerant leaks"),J36,"")</f>
        <v/>
      </c>
      <c r="U36" t="str">
        <f t="shared" si="6"/>
        <v/>
      </c>
    </row>
    <row r="37" spans="1:21" x14ac:dyDescent="0.3">
      <c r="A37">
        <v>1</v>
      </c>
      <c r="B37" t="s">
        <v>80</v>
      </c>
      <c r="C37" t="s">
        <v>87</v>
      </c>
      <c r="D37" t="s">
        <v>87</v>
      </c>
      <c r="E37" t="s">
        <v>88</v>
      </c>
      <c r="F37">
        <v>30000</v>
      </c>
      <c r="G37" t="s">
        <v>89</v>
      </c>
      <c r="H37" s="18">
        <f>M37+N37*Lookups!$B$24+O37*Lookups!$B$25</f>
        <v>1.5</v>
      </c>
      <c r="I37" t="s">
        <v>90</v>
      </c>
      <c r="J37">
        <f t="shared" si="3"/>
        <v>45</v>
      </c>
      <c r="K37" t="s">
        <v>85</v>
      </c>
      <c r="L37" t="s">
        <v>86</v>
      </c>
      <c r="M37">
        <v>1.5</v>
      </c>
      <c r="N37">
        <v>0</v>
      </c>
      <c r="O37">
        <v>0</v>
      </c>
      <c r="Q37">
        <f t="shared" si="5"/>
        <v>45</v>
      </c>
      <c r="R37">
        <f>IF(OR(N37="",F37=""),"",F37*N37/1000*Lookups!$B$24)</f>
        <v>0</v>
      </c>
      <c r="S37">
        <f>IF(OR(O37="",F37=""),"",F37*O37/1000*Lookups!$B$25)</f>
        <v>0</v>
      </c>
      <c r="T37" t="str">
        <f t="shared" si="7"/>
        <v/>
      </c>
      <c r="U37" t="str">
        <f t="shared" si="6"/>
        <v/>
      </c>
    </row>
    <row r="38" spans="1:21" x14ac:dyDescent="0.3">
      <c r="A38">
        <v>1</v>
      </c>
      <c r="B38" t="s">
        <v>80</v>
      </c>
      <c r="C38" t="s">
        <v>91</v>
      </c>
      <c r="D38" t="s">
        <v>92</v>
      </c>
      <c r="F38">
        <v>27000</v>
      </c>
      <c r="G38" t="s">
        <v>93</v>
      </c>
      <c r="H38" s="18">
        <f>M38+N38*Lookups!$B$24+O38*Lookups!$B$25</f>
        <v>0.35</v>
      </c>
      <c r="I38" t="s">
        <v>94</v>
      </c>
      <c r="J38">
        <f t="shared" si="3"/>
        <v>9.4499999999999993</v>
      </c>
      <c r="K38" t="s">
        <v>85</v>
      </c>
      <c r="L38" t="s">
        <v>86</v>
      </c>
      <c r="M38">
        <v>0.35</v>
      </c>
      <c r="N38">
        <v>0</v>
      </c>
      <c r="O38">
        <v>0</v>
      </c>
      <c r="Q38">
        <f t="shared" si="5"/>
        <v>9.4499999999999993</v>
      </c>
      <c r="R38">
        <f>IF(OR(N38="",F38=""),"",F38*N38/1000*Lookups!$B$24)</f>
        <v>0</v>
      </c>
      <c r="S38">
        <f>IF(OR(O38="",F38=""),"",F38*O38/1000*Lookups!$B$25)</f>
        <v>0</v>
      </c>
      <c r="T38" t="str">
        <f t="shared" si="7"/>
        <v/>
      </c>
      <c r="U38" t="str">
        <f t="shared" si="6"/>
        <v/>
      </c>
    </row>
    <row r="39" spans="1:21" x14ac:dyDescent="0.3">
      <c r="A39">
        <v>1</v>
      </c>
      <c r="B39" t="s">
        <v>80</v>
      </c>
      <c r="C39" t="s">
        <v>91</v>
      </c>
      <c r="D39" t="s">
        <v>95</v>
      </c>
      <c r="F39">
        <v>27500</v>
      </c>
      <c r="G39" t="s">
        <v>93</v>
      </c>
      <c r="H39" s="18">
        <f>M39+N39*Lookups!$B$24+O39*Lookups!$B$25</f>
        <v>0.35</v>
      </c>
      <c r="I39" t="s">
        <v>94</v>
      </c>
      <c r="J39">
        <f t="shared" si="3"/>
        <v>9.625</v>
      </c>
      <c r="K39" t="s">
        <v>85</v>
      </c>
      <c r="L39" t="s">
        <v>86</v>
      </c>
      <c r="M39">
        <v>0.35</v>
      </c>
      <c r="N39">
        <v>0</v>
      </c>
      <c r="O39">
        <v>0</v>
      </c>
      <c r="Q39">
        <f t="shared" si="5"/>
        <v>9.625</v>
      </c>
      <c r="R39">
        <f>IF(OR(N39="",F39=""),"",F39*N39/1000*Lookups!$B$24)</f>
        <v>0</v>
      </c>
      <c r="S39">
        <f>IF(OR(O39="",F39=""),"",F39*O39/1000*Lookups!$B$25)</f>
        <v>0</v>
      </c>
      <c r="T39" t="str">
        <f t="shared" si="7"/>
        <v/>
      </c>
      <c r="U39" t="str">
        <f t="shared" si="6"/>
        <v/>
      </c>
    </row>
    <row r="40" spans="1:21" x14ac:dyDescent="0.3">
      <c r="A40">
        <v>1</v>
      </c>
      <c r="B40" t="s">
        <v>17</v>
      </c>
      <c r="C40" t="s">
        <v>96</v>
      </c>
      <c r="D40" t="s">
        <v>96</v>
      </c>
      <c r="E40" t="s">
        <v>97</v>
      </c>
      <c r="F40">
        <v>10000000</v>
      </c>
      <c r="G40" t="s">
        <v>98</v>
      </c>
      <c r="H40" s="18">
        <f>M40+N40*Lookups!$B$24+O40*Lookups!$B$25</f>
        <v>2.1021255000000001</v>
      </c>
      <c r="I40" t="s">
        <v>99</v>
      </c>
      <c r="J40">
        <f t="shared" si="3"/>
        <v>21021.254999999997</v>
      </c>
      <c r="K40" t="s">
        <v>100</v>
      </c>
      <c r="L40" t="s">
        <v>101</v>
      </c>
      <c r="M40">
        <v>2.1</v>
      </c>
      <c r="N40">
        <v>3.8999999999999999E-5</v>
      </c>
      <c r="O40">
        <v>3.8999999999999999E-6</v>
      </c>
      <c r="Q40">
        <f t="shared" si="5"/>
        <v>21000</v>
      </c>
      <c r="R40">
        <f>IF(OR(N40="",F40=""),"",F40*N40/1000*Lookups!$B$24)</f>
        <v>10.92</v>
      </c>
      <c r="S40">
        <f>IF(OR(O40="",F40=""),"",F40*O40/1000*Lookups!$B$25)</f>
        <v>10.335000000000001</v>
      </c>
      <c r="T40" t="str">
        <f t="shared" si="7"/>
        <v/>
      </c>
      <c r="U40" t="str">
        <f t="shared" si="6"/>
        <v/>
      </c>
    </row>
    <row r="41" spans="1:21" x14ac:dyDescent="0.3">
      <c r="A41">
        <v>1</v>
      </c>
      <c r="B41" t="s">
        <v>57</v>
      </c>
      <c r="C41" t="s">
        <v>102</v>
      </c>
      <c r="D41" t="s">
        <v>102</v>
      </c>
      <c r="E41" t="s">
        <v>103</v>
      </c>
      <c r="F41">
        <v>15330000</v>
      </c>
      <c r="G41" t="s">
        <v>104</v>
      </c>
      <c r="H41" s="18">
        <f>M41+N41*Lookups!$B$24+O41*Lookups!$B$25</f>
        <v>2.5000000000000001E-2</v>
      </c>
      <c r="I41" t="s">
        <v>61</v>
      </c>
      <c r="J41">
        <f t="shared" si="3"/>
        <v>383.25</v>
      </c>
      <c r="K41" t="s">
        <v>85</v>
      </c>
      <c r="L41" t="s">
        <v>105</v>
      </c>
      <c r="M41">
        <v>2.5000000000000001E-2</v>
      </c>
      <c r="N41">
        <v>0</v>
      </c>
      <c r="O41">
        <v>0</v>
      </c>
      <c r="Q41">
        <f t="shared" si="5"/>
        <v>383.25</v>
      </c>
      <c r="R41">
        <f>IF(OR(N41="",F41=""),"",F41*N41/1000*Lookups!$B$24)</f>
        <v>0</v>
      </c>
      <c r="S41">
        <f>IF(OR(O41="",F41=""),"",F41*O41/1000*Lookups!$B$25)</f>
        <v>0</v>
      </c>
      <c r="T41" t="str">
        <f t="shared" si="7"/>
        <v/>
      </c>
      <c r="U41" t="str">
        <f t="shared" si="6"/>
        <v/>
      </c>
    </row>
    <row r="42" spans="1:21" x14ac:dyDescent="0.3">
      <c r="A42">
        <v>1</v>
      </c>
      <c r="B42" t="s">
        <v>80</v>
      </c>
      <c r="C42" t="s">
        <v>106</v>
      </c>
      <c r="D42" t="s">
        <v>107</v>
      </c>
      <c r="F42">
        <v>101355372</v>
      </c>
      <c r="G42" t="s">
        <v>108</v>
      </c>
      <c r="H42" s="18">
        <f>M42+N42*Lookups!$B$24+O42*Lookups!$B$25</f>
        <v>0.98</v>
      </c>
      <c r="I42" t="s">
        <v>109</v>
      </c>
      <c r="J42">
        <f t="shared" si="3"/>
        <v>99328.264559999996</v>
      </c>
      <c r="K42" t="s">
        <v>22</v>
      </c>
      <c r="L42" t="s">
        <v>110</v>
      </c>
      <c r="M42">
        <v>0.98</v>
      </c>
      <c r="N42">
        <v>0</v>
      </c>
      <c r="O42">
        <v>0</v>
      </c>
      <c r="Q42">
        <f t="shared" si="5"/>
        <v>99328.264559999996</v>
      </c>
      <c r="R42">
        <f>IF(OR(N42="",F42=""),"",F42*N42/1000*Lookups!$B$24)</f>
        <v>0</v>
      </c>
      <c r="S42">
        <f>IF(OR(O42="",F42=""),"",F42*O42/1000*Lookups!$B$25)</f>
        <v>0</v>
      </c>
      <c r="T42" t="str">
        <f t="shared" si="7"/>
        <v/>
      </c>
      <c r="U42" t="str">
        <f t="shared" si="6"/>
        <v/>
      </c>
    </row>
    <row r="43" spans="1:21" x14ac:dyDescent="0.3">
      <c r="A43">
        <v>1</v>
      </c>
      <c r="B43" t="s">
        <v>80</v>
      </c>
      <c r="C43" t="s">
        <v>106</v>
      </c>
      <c r="D43" t="s">
        <v>111</v>
      </c>
      <c r="F43">
        <v>103044628</v>
      </c>
      <c r="G43" t="s">
        <v>108</v>
      </c>
      <c r="H43" s="18">
        <f>M43+N43*Lookups!$B$24+O43*Lookups!$B$25</f>
        <v>0.98</v>
      </c>
      <c r="I43" t="s">
        <v>109</v>
      </c>
      <c r="J43">
        <f t="shared" si="3"/>
        <v>100983.73544</v>
      </c>
      <c r="K43" t="s">
        <v>22</v>
      </c>
      <c r="L43" t="s">
        <v>110</v>
      </c>
      <c r="M43">
        <v>0.98</v>
      </c>
      <c r="N43">
        <v>0</v>
      </c>
      <c r="O43">
        <v>0</v>
      </c>
      <c r="Q43">
        <f t="shared" si="5"/>
        <v>100983.73544</v>
      </c>
      <c r="R43">
        <f>IF(OR(N43="",F43=""),"",F43*N43/1000*Lookups!$B$24)</f>
        <v>0</v>
      </c>
      <c r="S43">
        <f>IF(OR(O43="",F43=""),"",F43*O43/1000*Lookups!$B$25)</f>
        <v>0</v>
      </c>
      <c r="T43" t="str">
        <f t="shared" si="7"/>
        <v/>
      </c>
      <c r="U43" t="str">
        <f t="shared" si="6"/>
        <v/>
      </c>
    </row>
    <row r="44" spans="1:21" x14ac:dyDescent="0.3">
      <c r="A44">
        <v>2</v>
      </c>
      <c r="B44" t="s">
        <v>112</v>
      </c>
      <c r="D44" t="s">
        <v>113</v>
      </c>
      <c r="F44">
        <v>357600</v>
      </c>
      <c r="G44" t="s">
        <v>114</v>
      </c>
      <c r="H44" s="18">
        <f>M44/1000+N44*Lookups!$B$24+O44*Lookups!$B$25</f>
        <v>0.55900000000000005</v>
      </c>
      <c r="I44" t="s">
        <v>115</v>
      </c>
      <c r="J44">
        <f t="shared" si="3"/>
        <v>199898.4</v>
      </c>
      <c r="K44" t="s">
        <v>116</v>
      </c>
      <c r="L44" t="s">
        <v>23</v>
      </c>
      <c r="M44">
        <v>559</v>
      </c>
      <c r="N44">
        <v>0</v>
      </c>
      <c r="O44">
        <v>0</v>
      </c>
      <c r="Q44">
        <f t="shared" si="5"/>
        <v>199898.4</v>
      </c>
      <c r="R44">
        <f>IF(OR(N44="",F44=""),"",F44*N44/1000*Lookups!$B$24)</f>
        <v>0</v>
      </c>
      <c r="S44">
        <f>IF(OR(O44="",F44=""),"",F44*O44/1000*Lookups!$B$25)</f>
        <v>0</v>
      </c>
      <c r="T44" t="str">
        <f t="shared" si="7"/>
        <v/>
      </c>
      <c r="U44" t="str">
        <f t="shared" si="6"/>
        <v/>
      </c>
    </row>
    <row r="45" spans="1:21" x14ac:dyDescent="0.3">
      <c r="A45">
        <v>3</v>
      </c>
      <c r="B45" t="s">
        <v>117</v>
      </c>
      <c r="E45" t="s">
        <v>118</v>
      </c>
      <c r="F45">
        <v>4000</v>
      </c>
      <c r="G45" t="s">
        <v>119</v>
      </c>
      <c r="H45" s="18">
        <f>M45/1000+N45*Lookups!$B$24+O45*Lookups!$B$25</f>
        <v>12</v>
      </c>
      <c r="I45" t="s">
        <v>120</v>
      </c>
      <c r="J45">
        <f t="shared" si="3"/>
        <v>48000</v>
      </c>
      <c r="K45" t="s">
        <v>22</v>
      </c>
      <c r="L45" t="s">
        <v>48</v>
      </c>
      <c r="M45">
        <v>12000</v>
      </c>
      <c r="N45">
        <v>0</v>
      </c>
      <c r="O45">
        <v>0</v>
      </c>
      <c r="Q45">
        <f t="shared" si="5"/>
        <v>48000</v>
      </c>
      <c r="R45">
        <f>IF(OR(N45="",F45=""),"",F45*N45/1000*Lookups!$B$24)</f>
        <v>0</v>
      </c>
      <c r="S45">
        <f>IF(OR(O45="",F45=""),"",F45*O45/1000*Lookups!$B$25)</f>
        <v>0</v>
      </c>
      <c r="T45" t="str">
        <f t="shared" si="7"/>
        <v/>
      </c>
      <c r="U45" t="str">
        <f t="shared" si="6"/>
        <v/>
      </c>
    </row>
    <row r="46" spans="1:21" x14ac:dyDescent="0.3">
      <c r="A46">
        <v>3</v>
      </c>
      <c r="B46" t="s">
        <v>121</v>
      </c>
      <c r="C46" t="s">
        <v>122</v>
      </c>
      <c r="D46" t="s">
        <v>122</v>
      </c>
      <c r="F46">
        <v>219355</v>
      </c>
      <c r="G46" t="s">
        <v>123</v>
      </c>
      <c r="H46" s="18">
        <f>M46/1000+N46*Lookups!$B$24+O46*Lookups!$B$25</f>
        <v>5.5778499999999998</v>
      </c>
      <c r="I46" t="s">
        <v>124</v>
      </c>
      <c r="J46">
        <f t="shared" si="3"/>
        <v>658630.46428675007</v>
      </c>
      <c r="K46" t="s">
        <v>22</v>
      </c>
      <c r="L46" t="s">
        <v>125</v>
      </c>
      <c r="M46">
        <v>3000</v>
      </c>
      <c r="N46">
        <v>4.7300000000000002E-2</v>
      </c>
      <c r="O46">
        <v>4.7299999999999998E-3</v>
      </c>
      <c r="Q46">
        <f t="shared" si="5"/>
        <v>658065</v>
      </c>
      <c r="R46">
        <f>IF(OR(N46="",F46=""),"",F46*N46/1000*Lookups!$B$24)</f>
        <v>290.51376200000004</v>
      </c>
      <c r="S46">
        <f>IF(OR(O46="",F46=""),"",F46*O46/1000*Lookups!$B$25)</f>
        <v>274.95052475</v>
      </c>
      <c r="T46" t="str">
        <f t="shared" si="7"/>
        <v/>
      </c>
      <c r="U46" t="str">
        <f t="shared" si="6"/>
        <v/>
      </c>
    </row>
    <row r="47" spans="1:21" x14ac:dyDescent="0.3">
      <c r="A47">
        <v>3</v>
      </c>
      <c r="B47" t="s">
        <v>121</v>
      </c>
      <c r="C47" t="s">
        <v>126</v>
      </c>
      <c r="D47" t="s">
        <v>126</v>
      </c>
      <c r="F47">
        <v>1502986</v>
      </c>
      <c r="G47" t="s">
        <v>123</v>
      </c>
      <c r="H47" s="18">
        <f>M47/1000+N47*Lookups!$B$24+O47*Lookups!$B$25</f>
        <v>13.920199999999999</v>
      </c>
      <c r="I47" t="s">
        <v>124</v>
      </c>
      <c r="J47">
        <f t="shared" si="3"/>
        <v>4750593.3598172003</v>
      </c>
      <c r="K47" t="s">
        <v>22</v>
      </c>
      <c r="L47" t="s">
        <v>125</v>
      </c>
      <c r="M47">
        <v>3150</v>
      </c>
      <c r="N47">
        <v>0.13289999999999999</v>
      </c>
      <c r="O47">
        <v>2.6599999999999999E-2</v>
      </c>
      <c r="Q47">
        <f t="shared" si="5"/>
        <v>4734405.9000000004</v>
      </c>
      <c r="R47">
        <f>IF(OR(N47="",F47=""),"",F47*N47/1000*Lookups!$B$24)</f>
        <v>5592.9115032</v>
      </c>
      <c r="S47">
        <f>IF(OR(O47="",F47=""),"",F47*O47/1000*Lookups!$B$25)</f>
        <v>10594.548313999998</v>
      </c>
      <c r="T47" t="str">
        <f t="shared" si="7"/>
        <v/>
      </c>
      <c r="U47" t="str">
        <f t="shared" si="6"/>
        <v/>
      </c>
    </row>
    <row r="48" spans="1:21" x14ac:dyDescent="0.3">
      <c r="A48">
        <v>3</v>
      </c>
      <c r="B48" t="s">
        <v>121</v>
      </c>
      <c r="C48" t="s">
        <v>127</v>
      </c>
      <c r="D48" t="s">
        <v>127</v>
      </c>
      <c r="F48">
        <v>2388530</v>
      </c>
      <c r="G48" t="s">
        <v>123</v>
      </c>
      <c r="H48" s="18">
        <f>M48/1000+N48*Lookups!$B$24+O48*Lookups!$B$25</f>
        <v>13.619</v>
      </c>
      <c r="I48" t="s">
        <v>124</v>
      </c>
      <c r="J48">
        <f t="shared" si="3"/>
        <v>7596597.8499699999</v>
      </c>
      <c r="K48" t="s">
        <v>22</v>
      </c>
      <c r="L48" t="s">
        <v>125</v>
      </c>
      <c r="M48">
        <v>3170</v>
      </c>
      <c r="N48">
        <v>0.129</v>
      </c>
      <c r="O48">
        <v>2.58E-2</v>
      </c>
      <c r="Q48">
        <f t="shared" si="5"/>
        <v>7571640.0999999996</v>
      </c>
      <c r="R48">
        <f>IF(OR(N48="",F48=""),"",F48*N48/1000*Lookups!$B$24)</f>
        <v>8627.370359999999</v>
      </c>
      <c r="S48">
        <f>IF(OR(O48="",F48=""),"",F48*O48/1000*Lookups!$B$25)</f>
        <v>16330.37961</v>
      </c>
      <c r="T48" t="str">
        <f t="shared" si="7"/>
        <v/>
      </c>
      <c r="U48" t="str">
        <f t="shared" si="6"/>
        <v/>
      </c>
    </row>
    <row r="49" spans="1:21" x14ac:dyDescent="0.3">
      <c r="A49">
        <v>3</v>
      </c>
      <c r="B49" t="s">
        <v>121</v>
      </c>
      <c r="C49" t="s">
        <v>128</v>
      </c>
      <c r="D49" t="s">
        <v>128</v>
      </c>
      <c r="F49">
        <v>649940</v>
      </c>
      <c r="G49" t="s">
        <v>123</v>
      </c>
      <c r="H49" s="18">
        <f>M49/1000+N49*Lookups!$B$24+O49*Lookups!$B$25</f>
        <v>13.876899999999999</v>
      </c>
      <c r="I49" t="s">
        <v>124</v>
      </c>
      <c r="J49">
        <f t="shared" si="3"/>
        <v>2054282.8413859999</v>
      </c>
      <c r="K49" t="s">
        <v>22</v>
      </c>
      <c r="L49" t="s">
        <v>125</v>
      </c>
      <c r="M49">
        <v>3150</v>
      </c>
      <c r="N49">
        <v>0.1323</v>
      </c>
      <c r="O49">
        <v>2.6499999999999999E-2</v>
      </c>
      <c r="Q49">
        <f t="shared" si="5"/>
        <v>2047311</v>
      </c>
      <c r="R49">
        <f>IF(OR(N49="",F49=""),"",F49*N49/1000*Lookups!$B$24)</f>
        <v>2407.6377360000001</v>
      </c>
      <c r="S49">
        <f>IF(OR(O49="",F49=""),"",F49*O49/1000*Lookups!$B$25)</f>
        <v>4564.2036500000004</v>
      </c>
      <c r="T49" t="str">
        <f t="shared" si="7"/>
        <v/>
      </c>
      <c r="U49" t="str">
        <f t="shared" si="6"/>
        <v/>
      </c>
    </row>
    <row r="50" spans="1:21" x14ac:dyDescent="0.3">
      <c r="A50">
        <v>3</v>
      </c>
      <c r="B50" t="s">
        <v>121</v>
      </c>
      <c r="C50" t="s">
        <v>129</v>
      </c>
      <c r="D50" t="s">
        <v>129</v>
      </c>
      <c r="F50">
        <v>233978</v>
      </c>
      <c r="G50" t="s">
        <v>123</v>
      </c>
      <c r="H50" s="18">
        <f>M50/1000+N50*Lookups!$B$24+O50*Lookups!$B$25</f>
        <v>12.916600000000001</v>
      </c>
      <c r="I50" t="s">
        <v>124</v>
      </c>
      <c r="J50">
        <f t="shared" si="3"/>
        <v>729966.10865479999</v>
      </c>
      <c r="K50" t="s">
        <v>22</v>
      </c>
      <c r="L50" t="s">
        <v>125</v>
      </c>
      <c r="M50">
        <v>3110</v>
      </c>
      <c r="N50">
        <v>0.1212</v>
      </c>
      <c r="O50">
        <v>2.4199999999999999E-2</v>
      </c>
      <c r="Q50">
        <f t="shared" si="5"/>
        <v>727671.58</v>
      </c>
      <c r="R50">
        <f>IF(OR(N50="",F50=""),"",F50*N50/1000*Lookups!$B$24)</f>
        <v>794.02774080000006</v>
      </c>
      <c r="S50">
        <f>IF(OR(O50="",F50=""),"",F50*O50/1000*Lookups!$B$25)</f>
        <v>1500.500914</v>
      </c>
      <c r="T50" t="str">
        <f t="shared" si="7"/>
        <v/>
      </c>
      <c r="U50" t="str">
        <f t="shared" si="6"/>
        <v/>
      </c>
    </row>
    <row r="51" spans="1:21" x14ac:dyDescent="0.3">
      <c r="A51">
        <v>3</v>
      </c>
      <c r="B51" t="s">
        <v>121</v>
      </c>
      <c r="C51" t="s">
        <v>130</v>
      </c>
      <c r="D51" t="s">
        <v>130</v>
      </c>
      <c r="F51">
        <v>345281</v>
      </c>
      <c r="G51" t="s">
        <v>123</v>
      </c>
      <c r="H51" s="18">
        <f>M51/1000+N51*Lookups!$B$24+O51*Lookups!$B$25</f>
        <v>11.1975</v>
      </c>
      <c r="I51" t="s">
        <v>124</v>
      </c>
      <c r="J51">
        <f t="shared" si="3"/>
        <v>1142154.1566975</v>
      </c>
      <c r="K51" t="s">
        <v>85</v>
      </c>
      <c r="L51" t="s">
        <v>125</v>
      </c>
      <c r="M51">
        <v>3300</v>
      </c>
      <c r="N51">
        <v>9.7500000000000003E-2</v>
      </c>
      <c r="O51">
        <v>1.95E-2</v>
      </c>
      <c r="Q51">
        <f t="shared" si="5"/>
        <v>1139427.3</v>
      </c>
      <c r="R51">
        <f>IF(OR(N51="",F51=""),"",F51*N51/1000*Lookups!$B$24)</f>
        <v>942.61713000000009</v>
      </c>
      <c r="S51">
        <f>IF(OR(O51="",F51=""),"",F51*O51/1000*Lookups!$B$25)</f>
        <v>1784.2395675000002</v>
      </c>
      <c r="T51" t="str">
        <f t="shared" si="7"/>
        <v/>
      </c>
      <c r="U51" t="str">
        <f t="shared" si="6"/>
        <v/>
      </c>
    </row>
  </sheetData>
  <autoFilter ref="A1:R1" xr:uid="{00000000-0009-0000-0000-000000000000}"/>
  <dataValidations count="2">
    <dataValidation type="list" allowBlank="1" showInputMessage="1" showErrorMessage="1" sqref="K2:K51" xr:uid="{00000000-0002-0000-0000-000000000000}">
      <formula1>AD_list</formula1>
    </dataValidation>
    <dataValidation type="list" allowBlank="1" showInputMessage="1" showErrorMessage="1" sqref="L2:L51" xr:uid="{00000000-0002-0000-0000-000001000000}">
      <formula1>EF_List</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9"/>
  <sheetViews>
    <sheetView topLeftCell="A7" workbookViewId="0">
      <selection activeCell="D23" sqref="D23"/>
    </sheetView>
  </sheetViews>
  <sheetFormatPr defaultRowHeight="14.4" x14ac:dyDescent="0.3"/>
  <cols>
    <col min="2" max="2" width="18.77734375" bestFit="1" customWidth="1"/>
    <col min="3" max="3" width="19.109375" bestFit="1" customWidth="1"/>
    <col min="4" max="4" width="20" bestFit="1" customWidth="1"/>
    <col min="5" max="5" width="20.33203125" bestFit="1" customWidth="1"/>
    <col min="6" max="6" width="30" bestFit="1" customWidth="1"/>
    <col min="7" max="7" width="20.88671875" bestFit="1" customWidth="1"/>
    <col min="11" max="11" width="18.77734375" bestFit="1" customWidth="1"/>
  </cols>
  <sheetData>
    <row r="1" spans="2:7" hidden="1" x14ac:dyDescent="0.3">
      <c r="B1" s="1" t="s">
        <v>0</v>
      </c>
      <c r="C1" s="1" t="s">
        <v>14</v>
      </c>
      <c r="D1" s="1" t="s">
        <v>168</v>
      </c>
      <c r="E1" s="1" t="s">
        <v>167</v>
      </c>
      <c r="F1" s="1" t="s">
        <v>16</v>
      </c>
      <c r="G1" s="1" t="s">
        <v>131</v>
      </c>
    </row>
    <row r="2" spans="2:7" hidden="1" x14ac:dyDescent="0.3">
      <c r="B2" t="s">
        <v>132</v>
      </c>
      <c r="C2" s="19">
        <f>SUMIF(Activities!A:A,"=1",Activities!Q:Q)</f>
        <v>2813317.5415200004</v>
      </c>
      <c r="D2" s="19">
        <f>SUMIF(Activities!A:A,"=1",Activities!R:R)</f>
        <v>1300.964966</v>
      </c>
      <c r="E2" s="19">
        <f>SUMIF(Activities!A:A,"=1",Activities!S:S)</f>
        <v>1241.168469</v>
      </c>
      <c r="F2" s="19">
        <f>SUMIF(Activities!A:A,"=1",Activities!T:T)</f>
        <v>281.7783</v>
      </c>
      <c r="G2" s="19">
        <f>SUMIF(Activities!A:A,"=1",Activities!J:J)</f>
        <v>2816141.4532550015</v>
      </c>
    </row>
    <row r="3" spans="2:7" hidden="1" x14ac:dyDescent="0.3">
      <c r="B3" t="s">
        <v>133</v>
      </c>
      <c r="C3" s="19">
        <f>SUMIF(Activities!A:A,"=2",Activities!Q:Q)</f>
        <v>199898.4</v>
      </c>
      <c r="D3" s="19">
        <f>SUMIF(Activities!A:A,"=2",Activities!R:R)</f>
        <v>0</v>
      </c>
      <c r="E3" s="19">
        <f>SUMIF(Activities!A:A,"=2",Activities!S:S)</f>
        <v>0</v>
      </c>
      <c r="F3" s="19">
        <f>SUMIF(Activities!A:A,"=2",Activities!T:T)</f>
        <v>0</v>
      </c>
      <c r="G3" s="19">
        <f>SUMIF(Activities!A:A,"=2",Activities!J:J)</f>
        <v>199898.4</v>
      </c>
    </row>
    <row r="4" spans="2:7" hidden="1" x14ac:dyDescent="0.3">
      <c r="B4" t="s">
        <v>134</v>
      </c>
      <c r="C4" s="19">
        <f>SUMIF(Activities!A:A,"=3",Activities!Q:Q)</f>
        <v>16926520.879999999</v>
      </c>
      <c r="D4" s="19">
        <f>SUMIF(Activities!A:A,"=3",Activities!R:R)</f>
        <v>18655.078231999996</v>
      </c>
      <c r="E4" s="19">
        <f>SUMIF(Activities!A:A,"=3",Activities!S:S)</f>
        <v>35048.822580249995</v>
      </c>
      <c r="F4" s="19">
        <f>SUMIF(Activities!A:A,"=3",Activities!T:T)</f>
        <v>0</v>
      </c>
      <c r="G4" s="19">
        <f>SUMIF(Activities!A:A,"=3",Activities!J:J)</f>
        <v>16980224.780812249</v>
      </c>
    </row>
    <row r="5" spans="2:7" hidden="1" x14ac:dyDescent="0.3">
      <c r="B5" t="s">
        <v>169</v>
      </c>
      <c r="C5" s="19">
        <f t="shared" ref="C5:F5" si="0">SUM(C2:C4)</f>
        <v>19939736.821520001</v>
      </c>
      <c r="D5" s="19">
        <f t="shared" si="0"/>
        <v>19956.043197999996</v>
      </c>
      <c r="E5" s="19">
        <f t="shared" si="0"/>
        <v>36289.991049249991</v>
      </c>
      <c r="F5" s="19">
        <f t="shared" si="0"/>
        <v>281.7783</v>
      </c>
      <c r="G5" s="19">
        <f>SUM(G2:G4)</f>
        <v>19996264.634067249</v>
      </c>
    </row>
    <row r="6" spans="2:7" hidden="1" x14ac:dyDescent="0.3"/>
    <row r="7" spans="2:7" ht="15" thickBot="1" x14ac:dyDescent="0.35"/>
    <row r="8" spans="2:7" x14ac:dyDescent="0.3">
      <c r="B8" s="26" t="s">
        <v>1</v>
      </c>
      <c r="C8" s="27" t="s">
        <v>14</v>
      </c>
      <c r="D8" s="27" t="s">
        <v>168</v>
      </c>
      <c r="E8" s="27" t="s">
        <v>167</v>
      </c>
      <c r="F8" s="27" t="s">
        <v>16</v>
      </c>
      <c r="G8" s="28" t="s">
        <v>131</v>
      </c>
    </row>
    <row r="9" spans="2:7" x14ac:dyDescent="0.3">
      <c r="B9" s="7" t="s">
        <v>17</v>
      </c>
      <c r="C9" s="20">
        <f>SUMIF(Activities!B:B,"="&amp;$B9,Activities!Q:Q)</f>
        <v>2608830.8705999996</v>
      </c>
      <c r="D9" s="20">
        <f>SUMIF(Activities!B:B,"="&amp;$B9,Activities!R:R)</f>
        <v>1299.9483560000001</v>
      </c>
      <c r="E9" s="20">
        <f>SUMIF(Activities!B:B,"="&amp;$B9,Activities!S:S)</f>
        <v>1231.5469814999999</v>
      </c>
      <c r="F9" s="20">
        <f>SUMIF(Activities!B:B,"="&amp;$B9,Activities!T:T)</f>
        <v>0</v>
      </c>
      <c r="G9" s="29">
        <f>SUMIF(Activities!B:B,"="&amp;$B9,Activities!J:J)</f>
        <v>2611362.3659375003</v>
      </c>
    </row>
    <row r="10" spans="2:7" x14ac:dyDescent="0.3">
      <c r="B10" s="7" t="s">
        <v>50</v>
      </c>
      <c r="C10" s="20">
        <f>SUMIF(Activities!B:B,"="&amp;$B10,Activities!Q:Q)</f>
        <v>690.1</v>
      </c>
      <c r="D10" s="20">
        <f>SUMIF(Activities!B:B,"="&amp;$B10,Activities!R:R)</f>
        <v>1.01661</v>
      </c>
      <c r="E10" s="20">
        <f>SUMIF(Activities!B:B,"="&amp;$B10,Activities!S:S)</f>
        <v>9.6214875000000006</v>
      </c>
      <c r="F10" s="20">
        <f>SUMIF(Activities!B:B,"="&amp;$B10,Activities!T:T)</f>
        <v>0</v>
      </c>
      <c r="G10" s="29">
        <f>SUMIF(Activities!B:B,"="&amp;$B10,Activities!J:J)</f>
        <v>700.73809750000009</v>
      </c>
    </row>
    <row r="11" spans="2:7" x14ac:dyDescent="0.3">
      <c r="B11" s="7" t="s">
        <v>57</v>
      </c>
      <c r="C11" s="20">
        <f>SUMIF(Activities!B:B,"="&amp;$B11,Activities!Q:Q)</f>
        <v>3276.4959199999998</v>
      </c>
      <c r="D11" s="20">
        <f>SUMIF(Activities!B:B,"="&amp;$B11,Activities!R:R)</f>
        <v>0</v>
      </c>
      <c r="E11" s="20">
        <f>SUMIF(Activities!B:B,"="&amp;$B11,Activities!S:S)</f>
        <v>0</v>
      </c>
      <c r="F11" s="20">
        <f>SUMIF(Activities!B:B,"="&amp;$B11,Activities!T:T)</f>
        <v>281.7783</v>
      </c>
      <c r="G11" s="29">
        <f>SUMIF(Activities!B:B,"="&amp;$B11,Activities!J:J)</f>
        <v>3558.2742199999993</v>
      </c>
    </row>
    <row r="12" spans="2:7" ht="15" thickBot="1" x14ac:dyDescent="0.35">
      <c r="B12" s="30" t="s">
        <v>80</v>
      </c>
      <c r="C12" s="21">
        <f>SUMIF(Activities!B:B,"="&amp;$B12,Activities!Q:Q)</f>
        <v>200520.07500000001</v>
      </c>
      <c r="D12" s="21">
        <f>SUMIF(Activities!B:B,"="&amp;$B12,Activities!R:R)</f>
        <v>0</v>
      </c>
      <c r="E12" s="21">
        <f>SUMIF(Activities!B:B,"="&amp;$B12,Activities!S:S)</f>
        <v>0</v>
      </c>
      <c r="F12" s="21">
        <f>SUMIF(Activities!B:B,"="&amp;$B12,Activities!T:T)</f>
        <v>0</v>
      </c>
      <c r="G12" s="31">
        <f>SUMIF(Activities!B:B,"="&amp;$B12,Activities!J:J)</f>
        <v>200520.07500000001</v>
      </c>
    </row>
    <row r="13" spans="2:7" ht="15" thickBot="1" x14ac:dyDescent="0.35">
      <c r="B13" s="23" t="s">
        <v>170</v>
      </c>
      <c r="C13" s="24">
        <f>C12+C11+C10+C9</f>
        <v>2813317.5415199995</v>
      </c>
      <c r="D13" s="24">
        <f t="shared" ref="D13:G13" si="1">D12+D11+D10+D9</f>
        <v>1300.964966</v>
      </c>
      <c r="E13" s="24">
        <f t="shared" si="1"/>
        <v>1241.168469</v>
      </c>
      <c r="F13" s="24">
        <f t="shared" si="1"/>
        <v>281.7783</v>
      </c>
      <c r="G13" s="25">
        <f t="shared" si="1"/>
        <v>2816141.4532550001</v>
      </c>
    </row>
    <row r="14" spans="2:7" ht="15" thickBot="1" x14ac:dyDescent="0.35">
      <c r="B14" s="32" t="s">
        <v>112</v>
      </c>
      <c r="C14" s="22">
        <f>SUMIF(Activities!B:B,"="&amp;$B14,Activities!Q:Q)</f>
        <v>199898.4</v>
      </c>
      <c r="D14" s="22">
        <f>SUMIF(Activities!B:B,"="&amp;$B14,Activities!R:R)</f>
        <v>0</v>
      </c>
      <c r="E14" s="22">
        <f>SUMIF(Activities!B:B,"="&amp;$B14,Activities!S:S)</f>
        <v>0</v>
      </c>
      <c r="F14" s="22">
        <f>SUMIF(Activities!B:B,"="&amp;$B14,Activities!T:T)</f>
        <v>0</v>
      </c>
      <c r="G14" s="33">
        <f>SUMIF(Activities!B:B,"="&amp;$B14,Activities!J:J)</f>
        <v>199898.4</v>
      </c>
    </row>
    <row r="15" spans="2:7" ht="15" thickBot="1" x14ac:dyDescent="0.35">
      <c r="B15" s="23" t="s">
        <v>171</v>
      </c>
      <c r="C15" s="24">
        <f>C14</f>
        <v>199898.4</v>
      </c>
      <c r="D15" s="24">
        <f t="shared" ref="D15:G15" si="2">D14</f>
        <v>0</v>
      </c>
      <c r="E15" s="24">
        <f t="shared" si="2"/>
        <v>0</v>
      </c>
      <c r="F15" s="24">
        <f t="shared" si="2"/>
        <v>0</v>
      </c>
      <c r="G15" s="25">
        <f t="shared" si="2"/>
        <v>199898.4</v>
      </c>
    </row>
    <row r="16" spans="2:7" x14ac:dyDescent="0.3">
      <c r="B16" s="7" t="s">
        <v>117</v>
      </c>
      <c r="C16" s="20">
        <f>SUMIF(Activities!B:B,"="&amp;$B16,Activities!Q:Q)</f>
        <v>48000</v>
      </c>
      <c r="D16" s="20">
        <f>SUMIF(Activities!B:B,"="&amp;$B16,Activities!R:R)</f>
        <v>0</v>
      </c>
      <c r="E16" s="20">
        <f>SUMIF(Activities!B:B,"="&amp;$B16,Activities!S:S)</f>
        <v>0</v>
      </c>
      <c r="F16" s="20">
        <f>SUMIF(Activities!B:B,"="&amp;$B16,Activities!T:T)</f>
        <v>0</v>
      </c>
      <c r="G16" s="29">
        <f>SUMIF(Activities!B:B,"="&amp;$B16,Activities!J:J)</f>
        <v>48000</v>
      </c>
    </row>
    <row r="17" spans="2:7" ht="15" thickBot="1" x14ac:dyDescent="0.35">
      <c r="B17" s="7" t="s">
        <v>121</v>
      </c>
      <c r="C17" s="20">
        <f>SUMIF(Activities!B:B,"="&amp;$B17,Activities!Q:Q)</f>
        <v>16878520.879999999</v>
      </c>
      <c r="D17" s="20">
        <f>SUMIF(Activities!B:B,"="&amp;$B17,Activities!R:R)</f>
        <v>18655.078231999996</v>
      </c>
      <c r="E17" s="20">
        <f>SUMIF(Activities!B:B,"="&amp;$B17,Activities!S:S)</f>
        <v>35048.822580249995</v>
      </c>
      <c r="F17" s="20">
        <f>SUMIF(Activities!B:B,"="&amp;$B17,Activities!T:T)</f>
        <v>0</v>
      </c>
      <c r="G17" s="29">
        <f>SUMIF(Activities!B:B,"="&amp;$B17,Activities!J:J)</f>
        <v>16932224.780812249</v>
      </c>
    </row>
    <row r="18" spans="2:7" ht="15" thickBot="1" x14ac:dyDescent="0.35">
      <c r="B18" s="23" t="s">
        <v>172</v>
      </c>
      <c r="C18" s="24">
        <f>C17+C16</f>
        <v>16926520.879999999</v>
      </c>
      <c r="D18" s="24">
        <f t="shared" ref="D18:G18" si="3">D17+D16</f>
        <v>18655.078231999996</v>
      </c>
      <c r="E18" s="24">
        <f t="shared" si="3"/>
        <v>35048.822580249995</v>
      </c>
      <c r="F18" s="24">
        <f t="shared" si="3"/>
        <v>0</v>
      </c>
      <c r="G18" s="25">
        <f t="shared" si="3"/>
        <v>16980224.780812249</v>
      </c>
    </row>
    <row r="19" spans="2:7" ht="15" thickBot="1" x14ac:dyDescent="0.35">
      <c r="B19" s="9" t="s">
        <v>173</v>
      </c>
      <c r="C19" s="34">
        <f>C18+C15+C13</f>
        <v>19939736.821519997</v>
      </c>
      <c r="D19" s="34">
        <f t="shared" ref="D19:G19" si="4">D18+D15+D13</f>
        <v>19956.043197999996</v>
      </c>
      <c r="E19" s="34">
        <f t="shared" si="4"/>
        <v>36289.991049249991</v>
      </c>
      <c r="F19" s="34">
        <f t="shared" si="4"/>
        <v>281.7783</v>
      </c>
      <c r="G19" s="35">
        <f t="shared" si="4"/>
        <v>19996264.634067249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topLeftCell="A7" workbookViewId="0">
      <selection activeCell="G13" sqref="G13"/>
    </sheetView>
  </sheetViews>
  <sheetFormatPr defaultRowHeight="14.4" x14ac:dyDescent="0.3"/>
  <cols>
    <col min="1" max="1" width="65.5546875" bestFit="1" customWidth="1"/>
    <col min="3" max="3" width="127.5546875" bestFit="1" customWidth="1"/>
    <col min="5" max="5" width="105.88671875" customWidth="1"/>
    <col min="6" max="6" width="18.6640625" bestFit="1" customWidth="1"/>
    <col min="7" max="7" width="255.77734375" bestFit="1" customWidth="1"/>
  </cols>
  <sheetData>
    <row r="1" spans="1:8" s="15" customFormat="1" x14ac:dyDescent="0.3">
      <c r="A1" s="12" t="s">
        <v>9</v>
      </c>
      <c r="B1" s="13" t="s">
        <v>135</v>
      </c>
      <c r="C1" s="14" t="s">
        <v>136</v>
      </c>
      <c r="E1" s="12" t="s">
        <v>10</v>
      </c>
      <c r="F1" s="13" t="s">
        <v>137</v>
      </c>
      <c r="G1" s="14" t="s">
        <v>138</v>
      </c>
    </row>
    <row r="2" spans="1:8" x14ac:dyDescent="0.3">
      <c r="A2" s="7" t="s">
        <v>22</v>
      </c>
      <c r="B2" s="39">
        <v>0.05</v>
      </c>
      <c r="C2" s="8" t="s">
        <v>176</v>
      </c>
      <c r="E2" s="7" t="s">
        <v>23</v>
      </c>
      <c r="F2" s="39">
        <v>0.05</v>
      </c>
      <c r="G2" s="8" t="s">
        <v>181</v>
      </c>
      <c r="H2" s="43"/>
    </row>
    <row r="3" spans="1:8" x14ac:dyDescent="0.3">
      <c r="A3" s="7" t="s">
        <v>47</v>
      </c>
      <c r="B3" s="39">
        <v>0.05</v>
      </c>
      <c r="C3" s="8" t="s">
        <v>177</v>
      </c>
      <c r="E3" s="7" t="s">
        <v>140</v>
      </c>
      <c r="F3" s="39">
        <v>0.1</v>
      </c>
      <c r="G3" s="8" t="s">
        <v>139</v>
      </c>
      <c r="H3" s="43"/>
    </row>
    <row r="4" spans="1:8" x14ac:dyDescent="0.3">
      <c r="A4" s="7" t="s">
        <v>116</v>
      </c>
      <c r="B4" s="39">
        <v>0.05</v>
      </c>
      <c r="C4" s="8" t="s">
        <v>178</v>
      </c>
      <c r="E4" s="7" t="s">
        <v>48</v>
      </c>
      <c r="F4" s="39">
        <v>0.3</v>
      </c>
      <c r="G4" t="s">
        <v>182</v>
      </c>
      <c r="H4" s="43"/>
    </row>
    <row r="5" spans="1:8" x14ac:dyDescent="0.3">
      <c r="A5" s="7" t="s">
        <v>100</v>
      </c>
      <c r="B5" s="40">
        <v>3.2000000000000001E-2</v>
      </c>
      <c r="C5" s="8" t="s">
        <v>179</v>
      </c>
      <c r="E5" s="7" t="s">
        <v>105</v>
      </c>
      <c r="F5" s="39">
        <v>0.3</v>
      </c>
      <c r="G5" s="8" t="s">
        <v>183</v>
      </c>
      <c r="H5" s="43"/>
    </row>
    <row r="6" spans="1:8" x14ac:dyDescent="0.3">
      <c r="A6" s="7" t="s">
        <v>142</v>
      </c>
      <c r="B6" s="39">
        <v>0.3</v>
      </c>
      <c r="C6" s="8" t="s">
        <v>180</v>
      </c>
      <c r="E6" s="7" t="s">
        <v>110</v>
      </c>
      <c r="F6" s="39">
        <v>0.3</v>
      </c>
      <c r="G6" s="8" t="s">
        <v>184</v>
      </c>
      <c r="H6" s="43"/>
    </row>
    <row r="7" spans="1:8" x14ac:dyDescent="0.3">
      <c r="A7" s="7" t="s">
        <v>143</v>
      </c>
      <c r="B7" s="39">
        <v>0.3</v>
      </c>
      <c r="C7" s="8" t="s">
        <v>180</v>
      </c>
      <c r="E7" s="7" t="s">
        <v>144</v>
      </c>
      <c r="F7" s="39">
        <v>0.3</v>
      </c>
      <c r="G7" s="8" t="s">
        <v>185</v>
      </c>
      <c r="H7" s="43"/>
    </row>
    <row r="8" spans="1:8" x14ac:dyDescent="0.3">
      <c r="A8" s="3" t="s">
        <v>85</v>
      </c>
      <c r="B8" s="39">
        <v>0.3</v>
      </c>
      <c r="C8" s="8" t="s">
        <v>180</v>
      </c>
      <c r="E8" s="7" t="s">
        <v>125</v>
      </c>
      <c r="F8" s="41">
        <v>0.3</v>
      </c>
      <c r="G8" s="8" t="s">
        <v>141</v>
      </c>
      <c r="H8" s="43"/>
    </row>
    <row r="9" spans="1:8" x14ac:dyDescent="0.3">
      <c r="E9" s="7" t="s">
        <v>101</v>
      </c>
      <c r="F9" s="41">
        <v>0.05</v>
      </c>
      <c r="G9" s="8" t="s">
        <v>181</v>
      </c>
      <c r="H9" s="43"/>
    </row>
    <row r="10" spans="1:8" x14ac:dyDescent="0.3">
      <c r="E10" s="7" t="s">
        <v>145</v>
      </c>
      <c r="F10" s="39">
        <v>0.75</v>
      </c>
      <c r="G10" s="8" t="s">
        <v>186</v>
      </c>
      <c r="H10" s="43"/>
    </row>
    <row r="11" spans="1:8" x14ac:dyDescent="0.3">
      <c r="E11" s="7" t="s">
        <v>86</v>
      </c>
      <c r="F11" s="39">
        <v>0.05</v>
      </c>
      <c r="G11" s="8" t="s">
        <v>187</v>
      </c>
      <c r="H11" s="43"/>
    </row>
    <row r="12" spans="1:8" x14ac:dyDescent="0.3">
      <c r="E12" s="7" t="s">
        <v>174</v>
      </c>
      <c r="F12" s="39">
        <v>0.3</v>
      </c>
      <c r="G12" s="8" t="s">
        <v>188</v>
      </c>
      <c r="H12" s="43"/>
    </row>
    <row r="13" spans="1:8" x14ac:dyDescent="0.3">
      <c r="E13" s="30" t="s">
        <v>175</v>
      </c>
      <c r="F13" s="44">
        <v>0.3</v>
      </c>
      <c r="G13" s="8" t="s">
        <v>188</v>
      </c>
      <c r="H13" s="43"/>
    </row>
    <row r="14" spans="1:8" ht="15" customHeight="1" thickBot="1" x14ac:dyDescent="0.35">
      <c r="E14" s="9" t="s">
        <v>146</v>
      </c>
      <c r="F14" s="42">
        <v>2.5</v>
      </c>
      <c r="G14" s="8" t="s">
        <v>186</v>
      </c>
      <c r="H14" s="43"/>
    </row>
    <row r="24" spans="1:3" x14ac:dyDescent="0.3">
      <c r="A24" t="s">
        <v>147</v>
      </c>
      <c r="B24">
        <v>28</v>
      </c>
      <c r="C24" t="s">
        <v>148</v>
      </c>
    </row>
    <row r="25" spans="1:3" x14ac:dyDescent="0.3">
      <c r="A25" t="s">
        <v>149</v>
      </c>
      <c r="B25">
        <v>265</v>
      </c>
      <c r="C25" t="s">
        <v>150</v>
      </c>
    </row>
  </sheetData>
  <dataValidations count="1">
    <dataValidation type="list" allowBlank="1" showInputMessage="1" showErrorMessage="1" sqref="E12" xr:uid="{36BD77CA-8DC9-4ABA-A459-CD32DC2793EE}">
      <formula1>EF_List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6"/>
  <sheetViews>
    <sheetView topLeftCell="B37" workbookViewId="0">
      <selection activeCell="F54" sqref="F54"/>
    </sheetView>
  </sheetViews>
  <sheetFormatPr defaultRowHeight="14.4" x14ac:dyDescent="0.3"/>
  <cols>
    <col min="1" max="1" width="110.33203125" bestFit="1" customWidth="1"/>
    <col min="2" max="2" width="11.33203125" bestFit="1" customWidth="1"/>
    <col min="3" max="3" width="13.77734375" bestFit="1" customWidth="1"/>
    <col min="4" max="4" width="9" bestFit="1" customWidth="1"/>
    <col min="5" max="5" width="13.88671875" bestFit="1" customWidth="1"/>
    <col min="6" max="6" width="19.44140625" bestFit="1" customWidth="1"/>
    <col min="7" max="7" width="8.5546875" bestFit="1" customWidth="1"/>
    <col min="8" max="8" width="14" bestFit="1" customWidth="1"/>
    <col min="9" max="9" width="19.6640625" bestFit="1" customWidth="1"/>
    <col min="10" max="10" width="11.88671875" bestFit="1" customWidth="1"/>
    <col min="11" max="11" width="18.5546875" bestFit="1" customWidth="1"/>
    <col min="12" max="12" width="20.6640625" bestFit="1" customWidth="1"/>
    <col min="13" max="13" width="13.21875" bestFit="1" customWidth="1"/>
  </cols>
  <sheetData>
    <row r="1" spans="1:13" x14ac:dyDescent="0.3">
      <c r="A1" s="3" t="s">
        <v>151</v>
      </c>
      <c r="B1" s="3" t="s">
        <v>152</v>
      </c>
      <c r="C1" s="3" t="s">
        <v>153</v>
      </c>
      <c r="D1" s="3" t="s">
        <v>154</v>
      </c>
      <c r="E1" s="3" t="s">
        <v>7</v>
      </c>
      <c r="F1" s="3" t="s">
        <v>8</v>
      </c>
      <c r="G1" s="3" t="s">
        <v>155</v>
      </c>
      <c r="H1" s="3" t="s">
        <v>156</v>
      </c>
      <c r="I1" s="3" t="s">
        <v>157</v>
      </c>
      <c r="J1" s="3" t="s">
        <v>158</v>
      </c>
      <c r="K1" s="3" t="s">
        <v>159</v>
      </c>
      <c r="L1" s="3" t="s">
        <v>160</v>
      </c>
      <c r="M1" s="3" t="s">
        <v>161</v>
      </c>
    </row>
    <row r="2" spans="1:13" x14ac:dyDescent="0.3">
      <c r="A2" s="3" t="str">
        <f>"[Scope " &amp; Activities!$A$2 &amp; "] " &amp; Activities!$B$2 &amp; " | " &amp; Activities!$C$2 &amp; " | " &amp; Activities!$D$2</f>
        <v>[Scope 1] stationary combusion | Heters/boiler fuel gas firing | Heters/boiler fuel gas firing - U_01 heater fuel firing</v>
      </c>
      <c r="B2" s="3">
        <f>Activities!$F$2</f>
        <v>2687902</v>
      </c>
      <c r="C2" s="3" t="str">
        <f>Activities!$G$2</f>
        <v>GJ</v>
      </c>
      <c r="D2" s="16">
        <f>VLOOKUP(Activities!K2,Lookups!$A:$C,2,FALSE)</f>
        <v>0.05</v>
      </c>
      <c r="E2" s="3">
        <f>Activities!M2</f>
        <v>56.1</v>
      </c>
      <c r="F2" s="3" t="str">
        <f>Activities!$I$2</f>
        <v>kg CO2e/GJ</v>
      </c>
      <c r="G2" s="16">
        <f>VLOOKUP(Activities!L2,Lookups!$E:$G,2,FALSE)</f>
        <v>0.05</v>
      </c>
      <c r="H2" s="3">
        <f t="shared" ref="H2:H33" si="0">IF(ISNUMBER(SEARCH("kg",F2)),B2*E2,B2*E2*1000)</f>
        <v>150791302.20000002</v>
      </c>
      <c r="I2" s="3">
        <f t="shared" ref="I2:I33" si="1">H2/1000</f>
        <v>150791.30220000001</v>
      </c>
      <c r="J2" s="3">
        <f t="shared" ref="J2:J33" si="2">B2*D2</f>
        <v>134395.1</v>
      </c>
      <c r="K2" s="3">
        <f t="shared" ref="K2:K33" si="3">E2*G2</f>
        <v>2.8050000000000002</v>
      </c>
      <c r="L2" s="16">
        <f t="shared" ref="L2:L33" si="4">SQRT(D2^2+G2^2)</f>
        <v>7.0710678118654766E-2</v>
      </c>
      <c r="M2" s="3">
        <f t="shared" ref="M2:M33" si="5">(L2*I2)^2</f>
        <v>113690084.09585866</v>
      </c>
    </row>
    <row r="3" spans="1:13" x14ac:dyDescent="0.3">
      <c r="A3" s="3" t="str">
        <f>"[Scope " &amp; Activities!$A$3 &amp; "] " &amp; Activities!$B$3 &amp; " | " &amp; Activities!$C$3 &amp; " | " &amp; Activities!$D$3</f>
        <v>[Scope 1] stationary combusion | Heters/boiler fuel gas firing | Heters/boiler fuel gas firing - U_17 heater fuel firing</v>
      </c>
      <c r="B3" s="3">
        <f>Activities!$F$3</f>
        <v>2741660</v>
      </c>
      <c r="C3" s="3" t="str">
        <f>Activities!$G$3</f>
        <v>GJ</v>
      </c>
      <c r="D3" s="16">
        <f>VLOOKUP(Activities!K3,Lookups!$A:$C,2,FALSE)</f>
        <v>0.05</v>
      </c>
      <c r="E3" s="3">
        <f>Activities!M3</f>
        <v>56.1</v>
      </c>
      <c r="F3" s="3" t="str">
        <f>Activities!$I$3</f>
        <v>kg CO2e/GJ</v>
      </c>
      <c r="G3" s="16">
        <f>VLOOKUP(Activities!L3,Lookups!$E:$G,2,FALSE)</f>
        <v>0.05</v>
      </c>
      <c r="H3" s="3">
        <f t="shared" si="0"/>
        <v>153807126</v>
      </c>
      <c r="I3" s="3">
        <f t="shared" si="1"/>
        <v>153807.12599999999</v>
      </c>
      <c r="J3" s="3">
        <f t="shared" si="2"/>
        <v>137083</v>
      </c>
      <c r="K3" s="3">
        <f t="shared" si="3"/>
        <v>2.8050000000000002</v>
      </c>
      <c r="L3" s="16">
        <f t="shared" si="4"/>
        <v>7.0710678118654766E-2</v>
      </c>
      <c r="M3" s="3">
        <f t="shared" si="5"/>
        <v>118283160.0418994</v>
      </c>
    </row>
    <row r="4" spans="1:13" x14ac:dyDescent="0.3">
      <c r="A4" s="3" t="str">
        <f>"[Scope " &amp; Activities!$A$4 &amp; "] " &amp; Activities!$B$4 &amp; " | " &amp; Activities!$C$4 &amp; " | " &amp; Activities!$D$4</f>
        <v>[Scope 1] stationary combusion | Heters/boiler fuel gas firing | Heters/boiler fuel gas firing - U02/03 heter firing</v>
      </c>
      <c r="B4" s="3">
        <f>Activities!$F$4</f>
        <v>2795418</v>
      </c>
      <c r="C4" s="3" t="str">
        <f>Activities!$G$4</f>
        <v>GJ</v>
      </c>
      <c r="D4" s="16">
        <f>VLOOKUP(Activities!K4,Lookups!$A:$C,2,FALSE)</f>
        <v>0.05</v>
      </c>
      <c r="E4" s="3">
        <f>Activities!M4</f>
        <v>56.1</v>
      </c>
      <c r="F4" s="3" t="str">
        <f>Activities!$I$4</f>
        <v>kg CO2e/GJ</v>
      </c>
      <c r="G4" s="16">
        <f>VLOOKUP(Activities!L4,Lookups!$E:$G,2,FALSE)</f>
        <v>0.05</v>
      </c>
      <c r="H4" s="3">
        <f t="shared" si="0"/>
        <v>156822949.80000001</v>
      </c>
      <c r="I4" s="3">
        <f t="shared" si="1"/>
        <v>156822.9498</v>
      </c>
      <c r="J4" s="3">
        <f t="shared" si="2"/>
        <v>139770.9</v>
      </c>
      <c r="K4" s="3">
        <f t="shared" si="3"/>
        <v>2.8050000000000002</v>
      </c>
      <c r="L4" s="16">
        <f t="shared" si="4"/>
        <v>7.0710678118654766E-2</v>
      </c>
      <c r="M4" s="3">
        <f t="shared" si="5"/>
        <v>122967187.91986667</v>
      </c>
    </row>
    <row r="5" spans="1:13" x14ac:dyDescent="0.3">
      <c r="A5" s="3" t="str">
        <f>"[Scope " &amp; Activities!$A$5 &amp; "] " &amp; Activities!$B$5 &amp; " | " &amp; Activities!$C$5 &amp; " | " &amp; Activities!$D$5</f>
        <v>[Scope 1] stationary combusion | Heters/boiler fuel gas firing | Heters/boiler fuel gas firing - U_04 heater firing</v>
      </c>
      <c r="B5" s="3">
        <f>Activities!$F$5</f>
        <v>2849176</v>
      </c>
      <c r="C5" s="3" t="str">
        <f>Activities!$G$5</f>
        <v>GJ</v>
      </c>
      <c r="D5" s="16">
        <f>VLOOKUP(Activities!K5,Lookups!$A:$C,2,FALSE)</f>
        <v>0.05</v>
      </c>
      <c r="E5" s="3">
        <f>Activities!M5</f>
        <v>56.1</v>
      </c>
      <c r="F5" s="3" t="str">
        <f>Activities!$I$5</f>
        <v>kg CO2e/GJ</v>
      </c>
      <c r="G5" s="16">
        <f>VLOOKUP(Activities!L5,Lookups!$E:$G,2,FALSE)</f>
        <v>0.05</v>
      </c>
      <c r="H5" s="3">
        <f t="shared" si="0"/>
        <v>159838773.59999999</v>
      </c>
      <c r="I5" s="3">
        <f t="shared" si="1"/>
        <v>159838.77359999999</v>
      </c>
      <c r="J5" s="3">
        <f t="shared" si="2"/>
        <v>142458.80000000002</v>
      </c>
      <c r="K5" s="3">
        <f t="shared" si="3"/>
        <v>2.8050000000000002</v>
      </c>
      <c r="L5" s="16">
        <f t="shared" si="4"/>
        <v>7.0710678118654766E-2</v>
      </c>
      <c r="M5" s="3">
        <f t="shared" si="5"/>
        <v>127742167.72976032</v>
      </c>
    </row>
    <row r="6" spans="1:13" x14ac:dyDescent="0.3">
      <c r="A6" s="3" t="str">
        <f>"[Scope " &amp; Activities!$A$6 &amp; "] " &amp; Activities!$B$6 &amp; " | " &amp; Activities!$C$6 &amp; " | " &amp; Activities!$D$6</f>
        <v>[Scope 1] stationary combusion | Heters/boiler fuel gas firing | Heters/boiler fuel gas firing - U_07 heter firing</v>
      </c>
      <c r="B6" s="3">
        <f>Activities!$F$6</f>
        <v>2902934</v>
      </c>
      <c r="C6" s="3" t="str">
        <f>Activities!$G$6</f>
        <v>GJ</v>
      </c>
      <c r="D6" s="16">
        <f>VLOOKUP(Activities!K6,Lookups!$A:$C,2,FALSE)</f>
        <v>0.05</v>
      </c>
      <c r="E6" s="3">
        <f>Activities!M6</f>
        <v>56.1</v>
      </c>
      <c r="F6" s="3" t="str">
        <f>Activities!$I$6</f>
        <v>kg CO2e/GJ</v>
      </c>
      <c r="G6" s="16">
        <f>VLOOKUP(Activities!L6,Lookups!$E:$G,2,FALSE)</f>
        <v>0.05</v>
      </c>
      <c r="H6" s="3">
        <f t="shared" si="0"/>
        <v>162854597.40000001</v>
      </c>
      <c r="I6" s="3">
        <f t="shared" si="1"/>
        <v>162854.5974</v>
      </c>
      <c r="J6" s="3">
        <f t="shared" si="2"/>
        <v>145146.70000000001</v>
      </c>
      <c r="K6" s="3">
        <f t="shared" si="3"/>
        <v>2.8050000000000002</v>
      </c>
      <c r="L6" s="16">
        <f t="shared" si="4"/>
        <v>7.0710678118654766E-2</v>
      </c>
      <c r="M6" s="3">
        <f t="shared" si="5"/>
        <v>132608099.47158048</v>
      </c>
    </row>
    <row r="7" spans="1:13" x14ac:dyDescent="0.3">
      <c r="A7" s="3" t="str">
        <f>"[Scope " &amp; Activities!$A$7 &amp; "] " &amp; Activities!$B$7 &amp; " | " &amp; Activities!$C$7 &amp; " | " &amp; Activities!$D$7</f>
        <v>[Scope 1] stationary combusion | Heters/boiler fuel gas firing | Heters/boiler fuel gas firing - U_08 heater firing</v>
      </c>
      <c r="B7" s="3">
        <f>Activities!$F$7</f>
        <v>2956692</v>
      </c>
      <c r="C7" s="3" t="str">
        <f>Activities!$G$7</f>
        <v>GJ</v>
      </c>
      <c r="D7" s="16">
        <f>VLOOKUP(Activities!K7,Lookups!$A:$C,2,FALSE)</f>
        <v>0.05</v>
      </c>
      <c r="E7" s="3">
        <f>Activities!M7</f>
        <v>56.1</v>
      </c>
      <c r="F7" s="3" t="str">
        <f>Activities!$I$7</f>
        <v>kg CO2e/GJ</v>
      </c>
      <c r="G7" s="16">
        <f>VLOOKUP(Activities!L7,Lookups!$E:$G,2,FALSE)</f>
        <v>0.05</v>
      </c>
      <c r="H7" s="3">
        <f t="shared" si="0"/>
        <v>165870421.20000002</v>
      </c>
      <c r="I7" s="3">
        <f t="shared" si="1"/>
        <v>165870.42120000001</v>
      </c>
      <c r="J7" s="3">
        <f t="shared" si="2"/>
        <v>147834.6</v>
      </c>
      <c r="K7" s="3">
        <f t="shared" si="3"/>
        <v>2.8050000000000002</v>
      </c>
      <c r="L7" s="16">
        <f t="shared" si="4"/>
        <v>7.0710678118654766E-2</v>
      </c>
      <c r="M7" s="3">
        <f t="shared" si="5"/>
        <v>137564983.14532709</v>
      </c>
    </row>
    <row r="8" spans="1:13" x14ac:dyDescent="0.3">
      <c r="A8" s="3" t="str">
        <f>"[Scope " &amp; Activities!$A$8 &amp; "] " &amp; Activities!$B$8 &amp; " | " &amp; Activities!$C$8 &amp; " | " &amp; Activities!$D$8</f>
        <v>[Scope 1] stationary combusion | Heters/boiler fuel gas firing | Heters/boiler fuel gas firing - U_09 heater firing</v>
      </c>
      <c r="B8" s="3">
        <f>Activities!$F$8</f>
        <v>3010450</v>
      </c>
      <c r="C8" s="3" t="str">
        <f>Activities!$G$8</f>
        <v>GJ</v>
      </c>
      <c r="D8" s="16">
        <f>VLOOKUP(Activities!K8,Lookups!$A:$C,2,FALSE)</f>
        <v>0.05</v>
      </c>
      <c r="E8" s="3">
        <f>Activities!M8</f>
        <v>56.1</v>
      </c>
      <c r="F8" s="3" t="str">
        <f>Activities!$I$8</f>
        <v>kg CO2e/GJ</v>
      </c>
      <c r="G8" s="16">
        <f>VLOOKUP(Activities!L8,Lookups!$E:$G,2,FALSE)</f>
        <v>0.05</v>
      </c>
      <c r="H8" s="3">
        <f t="shared" si="0"/>
        <v>168886245</v>
      </c>
      <c r="I8" s="3">
        <f t="shared" si="1"/>
        <v>168886.245</v>
      </c>
      <c r="J8" s="3">
        <f t="shared" si="2"/>
        <v>150522.5</v>
      </c>
      <c r="K8" s="3">
        <f t="shared" si="3"/>
        <v>2.8050000000000002</v>
      </c>
      <c r="L8" s="16">
        <f t="shared" si="4"/>
        <v>7.0710678118654766E-2</v>
      </c>
      <c r="M8" s="3">
        <f t="shared" si="5"/>
        <v>142612818.7510002</v>
      </c>
    </row>
    <row r="9" spans="1:13" x14ac:dyDescent="0.3">
      <c r="A9" s="3" t="str">
        <f>"[Scope " &amp; Activities!$A$9 &amp; "] " &amp; Activities!$B$9 &amp; " | " &amp; Activities!$C$9 &amp; " | " &amp; Activities!$D$9</f>
        <v>[Scope 1] stationary combusion | Heters/boiler fuel gas firing | Heters/boiler fuel gas firing - U_11 heater firing</v>
      </c>
      <c r="B9" s="3">
        <f>Activities!$F$9</f>
        <v>3064208</v>
      </c>
      <c r="C9" s="3" t="str">
        <f>Activities!$G$9</f>
        <v>GJ</v>
      </c>
      <c r="D9" s="16">
        <f>VLOOKUP(Activities!K9,Lookups!$A:$C,2,FALSE)</f>
        <v>0.05</v>
      </c>
      <c r="E9" s="3">
        <f>Activities!M9</f>
        <v>56.1</v>
      </c>
      <c r="F9" s="3" t="str">
        <f>Activities!$I$9</f>
        <v>kg CO2e/GJ</v>
      </c>
      <c r="G9" s="16">
        <f>VLOOKUP(Activities!L9,Lookups!$E:$G,2,FALSE)</f>
        <v>0.05</v>
      </c>
      <c r="H9" s="3">
        <f t="shared" si="0"/>
        <v>171902068.80000001</v>
      </c>
      <c r="I9" s="3">
        <f t="shared" si="1"/>
        <v>171902.06880000001</v>
      </c>
      <c r="J9" s="3">
        <f t="shared" si="2"/>
        <v>153210.4</v>
      </c>
      <c r="K9" s="3">
        <f t="shared" si="3"/>
        <v>2.8050000000000002</v>
      </c>
      <c r="L9" s="16">
        <f t="shared" si="4"/>
        <v>7.0710678118654766E-2</v>
      </c>
      <c r="M9" s="3">
        <f t="shared" si="5"/>
        <v>147751606.28859973</v>
      </c>
    </row>
    <row r="10" spans="1:13" x14ac:dyDescent="0.3">
      <c r="A10" s="3" t="str">
        <f>"[Scope " &amp; Activities!$A$10 &amp; "] " &amp; Activities!$B$10 &amp; " | " &amp; Activities!$C$10 &amp; " | " &amp; Activities!$D$10</f>
        <v>[Scope 1] stationary combusion | Heters/boiler fuel gas firing | Heters/boiler fuel gas firing - U_11_cell3 heater firing</v>
      </c>
      <c r="B10" s="3">
        <f>Activities!$F$10</f>
        <v>3117966</v>
      </c>
      <c r="C10" s="3" t="str">
        <f>Activities!$G$10</f>
        <v>GJ</v>
      </c>
      <c r="D10" s="16">
        <f>VLOOKUP(Activities!K10,Lookups!$A:$C,2,FALSE)</f>
        <v>0.05</v>
      </c>
      <c r="E10" s="3">
        <f>Activities!M10</f>
        <v>56.1</v>
      </c>
      <c r="F10" s="3" t="str">
        <f>Activities!$I$10</f>
        <v>kg CO2e/GJ</v>
      </c>
      <c r="G10" s="16">
        <f>VLOOKUP(Activities!L10,Lookups!$E:$G,2,FALSE)</f>
        <v>0.05</v>
      </c>
      <c r="H10" s="3">
        <f t="shared" si="0"/>
        <v>174917892.59999999</v>
      </c>
      <c r="I10" s="3">
        <f t="shared" si="1"/>
        <v>174917.89259999999</v>
      </c>
      <c r="J10" s="3">
        <f t="shared" si="2"/>
        <v>155898.30000000002</v>
      </c>
      <c r="K10" s="3">
        <f t="shared" si="3"/>
        <v>2.8050000000000002</v>
      </c>
      <c r="L10" s="16">
        <f t="shared" si="4"/>
        <v>7.0710678118654766E-2</v>
      </c>
      <c r="M10" s="3">
        <f t="shared" si="5"/>
        <v>152981345.75812572</v>
      </c>
    </row>
    <row r="11" spans="1:13" x14ac:dyDescent="0.3">
      <c r="A11" s="3" t="str">
        <f>"[Scope " &amp; Activities!$A$11 &amp; "] " &amp; Activities!$B$11 &amp; " | " &amp; Activities!$C$11 &amp; " | " &amp; Activities!$D$11</f>
        <v>[Scope 1] stationary combusion | Heters/boiler fuel gas firing | Heters/boiler fuel gas firing - U_18 heater firing</v>
      </c>
      <c r="B11" s="3">
        <f>Activities!$F$11</f>
        <v>3171724</v>
      </c>
      <c r="C11" s="3" t="str">
        <f>Activities!$G$11</f>
        <v>GJ</v>
      </c>
      <c r="D11" s="16">
        <f>VLOOKUP(Activities!K11,Lookups!$A:$C,2,FALSE)</f>
        <v>0.05</v>
      </c>
      <c r="E11" s="3">
        <f>Activities!M11</f>
        <v>56.1</v>
      </c>
      <c r="F11" s="3" t="str">
        <f>Activities!$I$11</f>
        <v>kg CO2e/GJ</v>
      </c>
      <c r="G11" s="16">
        <f>VLOOKUP(Activities!L11,Lookups!$E:$G,2,FALSE)</f>
        <v>0.05</v>
      </c>
      <c r="H11" s="3">
        <f t="shared" si="0"/>
        <v>177933716.40000001</v>
      </c>
      <c r="I11" s="3">
        <f t="shared" si="1"/>
        <v>177933.7164</v>
      </c>
      <c r="J11" s="3">
        <f t="shared" si="2"/>
        <v>158586.20000000001</v>
      </c>
      <c r="K11" s="3">
        <f t="shared" si="3"/>
        <v>2.8050000000000002</v>
      </c>
      <c r="L11" s="16">
        <f t="shared" si="4"/>
        <v>7.0710678118654766E-2</v>
      </c>
      <c r="M11" s="3">
        <f t="shared" si="5"/>
        <v>158302037.1595782</v>
      </c>
    </row>
    <row r="12" spans="1:13" x14ac:dyDescent="0.3">
      <c r="A12" s="3" t="str">
        <f>"[Scope " &amp; Activities!$A$12 &amp; "] " &amp; Activities!$B$12 &amp; " | " &amp; Activities!$C$12 &amp; " | " &amp; Activities!$D$12</f>
        <v>[Scope 1] stationary combusion | Heters/boiler fuel gas firing | Heters/boiler fuel gas firing - U_19 heater firing</v>
      </c>
      <c r="B12" s="3">
        <f>Activities!$F$12</f>
        <v>3225482</v>
      </c>
      <c r="C12" s="3" t="str">
        <f>Activities!$G$12</f>
        <v>GJ</v>
      </c>
      <c r="D12" s="16">
        <f>VLOOKUP(Activities!K12,Lookups!$A:$C,2,FALSE)</f>
        <v>0.05</v>
      </c>
      <c r="E12" s="3">
        <f>Activities!M12</f>
        <v>56.1</v>
      </c>
      <c r="F12" s="3" t="str">
        <f>Activities!$I$12</f>
        <v>kg CO2e/GJ</v>
      </c>
      <c r="G12" s="16">
        <f>VLOOKUP(Activities!L12,Lookups!$E:$G,2,FALSE)</f>
        <v>0.05</v>
      </c>
      <c r="H12" s="3">
        <f t="shared" si="0"/>
        <v>180949540.20000002</v>
      </c>
      <c r="I12" s="3">
        <f t="shared" si="1"/>
        <v>180949.54020000002</v>
      </c>
      <c r="J12" s="3">
        <f t="shared" si="2"/>
        <v>161274.1</v>
      </c>
      <c r="K12" s="3">
        <f t="shared" si="3"/>
        <v>2.8050000000000002</v>
      </c>
      <c r="L12" s="16">
        <f t="shared" si="4"/>
        <v>7.0710678118654766E-2</v>
      </c>
      <c r="M12" s="3">
        <f t="shared" si="5"/>
        <v>163713680.49295717</v>
      </c>
    </row>
    <row r="13" spans="1:13" x14ac:dyDescent="0.3">
      <c r="A13" s="3" t="str">
        <f>"[Scope " &amp; Activities!$A$13 &amp; "] " &amp; Activities!$B$13 &amp; " | " &amp; Activities!$C$13 &amp; " | " &amp; Activities!$D$13</f>
        <v>[Scope 1] stationary combusion | Heters/boiler fuel gas firing | Heters/boiler fuel gas firing - U_20 heater firing</v>
      </c>
      <c r="B13" s="3">
        <f>Activities!$F$13</f>
        <v>3279240</v>
      </c>
      <c r="C13" s="3" t="str">
        <f>Activities!$G$13</f>
        <v>GJ</v>
      </c>
      <c r="D13" s="16">
        <f>VLOOKUP(Activities!K13,Lookups!$A:$C,2,FALSE)</f>
        <v>0.05</v>
      </c>
      <c r="E13" s="3">
        <f>Activities!M13</f>
        <v>56.1</v>
      </c>
      <c r="F13" s="3" t="str">
        <f>Activities!$I$13</f>
        <v>kg CO2e/GJ</v>
      </c>
      <c r="G13" s="16">
        <f>VLOOKUP(Activities!L13,Lookups!$E:$G,2,FALSE)</f>
        <v>0.05</v>
      </c>
      <c r="H13" s="3">
        <f t="shared" si="0"/>
        <v>183965364</v>
      </c>
      <c r="I13" s="3">
        <f t="shared" si="1"/>
        <v>183965.364</v>
      </c>
      <c r="J13" s="3">
        <f t="shared" si="2"/>
        <v>163962</v>
      </c>
      <c r="K13" s="3">
        <f t="shared" si="3"/>
        <v>2.8050000000000002</v>
      </c>
      <c r="L13" s="16">
        <f t="shared" si="4"/>
        <v>7.0710678118654766E-2</v>
      </c>
      <c r="M13" s="3">
        <f t="shared" si="5"/>
        <v>169216275.75826254</v>
      </c>
    </row>
    <row r="14" spans="1:13" x14ac:dyDescent="0.3">
      <c r="A14" s="3" t="str">
        <f>"[Scope " &amp; Activities!$A$14 &amp; "] " &amp; Activities!$B$14 &amp; " | " &amp; Activities!$C$14 &amp; " | " &amp; Activities!$D$14</f>
        <v>[Scope 1] stationary combusion | Heters/boiler fuel gas firing | Heters/boiler fuel gas firing - U_21 heater firing</v>
      </c>
      <c r="B14" s="3">
        <f>Activities!$F$14</f>
        <v>3332998</v>
      </c>
      <c r="C14" s="3" t="str">
        <f>Activities!$G$14</f>
        <v>GJ</v>
      </c>
      <c r="D14" s="16">
        <f>VLOOKUP(Activities!K14,Lookups!$A:$C,2,FALSE)</f>
        <v>0.05</v>
      </c>
      <c r="E14" s="3">
        <f>Activities!M14</f>
        <v>56.1</v>
      </c>
      <c r="F14" s="3" t="str">
        <f>Activities!$I$14</f>
        <v>kg CO2e/GJ</v>
      </c>
      <c r="G14" s="16">
        <f>VLOOKUP(Activities!L14,Lookups!$E:$G,2,FALSE)</f>
        <v>0.05</v>
      </c>
      <c r="H14" s="3">
        <f t="shared" si="0"/>
        <v>186981187.80000001</v>
      </c>
      <c r="I14" s="3">
        <f t="shared" si="1"/>
        <v>186981.18780000001</v>
      </c>
      <c r="J14" s="3">
        <f t="shared" si="2"/>
        <v>166649.90000000002</v>
      </c>
      <c r="K14" s="3">
        <f t="shared" si="3"/>
        <v>2.8050000000000002</v>
      </c>
      <c r="L14" s="16">
        <f t="shared" si="4"/>
        <v>7.0710678118654766E-2</v>
      </c>
      <c r="M14" s="3">
        <f t="shared" si="5"/>
        <v>174809822.95549443</v>
      </c>
    </row>
    <row r="15" spans="1:13" x14ac:dyDescent="0.3">
      <c r="A15" s="3" t="str">
        <f>"[Scope " &amp; Activities!$A$15 &amp; "] " &amp; Activities!$B$15 &amp; " | " &amp; Activities!$C$15 &amp; " | " &amp; Activities!$D$15</f>
        <v>[Scope 1] stationary combusion | Heters/boiler fuel gas firing | Heters/boiler fuel gas firing - U_37 boilers firing</v>
      </c>
      <c r="B15" s="3">
        <f>Activities!$F$15</f>
        <v>3386756</v>
      </c>
      <c r="C15" s="3" t="str">
        <f>Activities!$G$15</f>
        <v>GJ</v>
      </c>
      <c r="D15" s="16">
        <f>VLOOKUP(Activities!K15,Lookups!$A:$C,2,FALSE)</f>
        <v>0.05</v>
      </c>
      <c r="E15" s="3">
        <f>Activities!M15</f>
        <v>56.1</v>
      </c>
      <c r="F15" s="3" t="str">
        <f>Activities!$I$15</f>
        <v>kg CO2e/GJ</v>
      </c>
      <c r="G15" s="16">
        <f>VLOOKUP(Activities!L15,Lookups!$E:$G,2,FALSE)</f>
        <v>0.05</v>
      </c>
      <c r="H15" s="3">
        <f t="shared" si="0"/>
        <v>189997011.59999999</v>
      </c>
      <c r="I15" s="3">
        <f t="shared" si="1"/>
        <v>189997.0116</v>
      </c>
      <c r="J15" s="3">
        <f t="shared" si="2"/>
        <v>169337.80000000002</v>
      </c>
      <c r="K15" s="3">
        <f t="shared" si="3"/>
        <v>2.8050000000000002</v>
      </c>
      <c r="L15" s="16">
        <f t="shared" si="4"/>
        <v>7.0710678118654766E-2</v>
      </c>
      <c r="M15" s="3">
        <f t="shared" si="5"/>
        <v>180494322.08465272</v>
      </c>
    </row>
    <row r="16" spans="1:13" x14ac:dyDescent="0.3">
      <c r="A16" s="3" t="str">
        <f>"[Scope " &amp; Activities!$A$16 &amp; "] " &amp; Activities!$B$16 &amp; " | " &amp; Activities!$C$16 &amp; " | " &amp; Activities!$D$16</f>
        <v>[Scope 1] stationary combusion | Incenerator firing | Incenerator firing - U_13 firing</v>
      </c>
      <c r="B16" s="3">
        <f>Activities!$F$16</f>
        <v>1720257</v>
      </c>
      <c r="C16" s="3" t="str">
        <f>Activities!$G$16</f>
        <v>GJ</v>
      </c>
      <c r="D16" s="16">
        <f>VLOOKUP(Activities!K16,Lookups!$A:$C,2,FALSE)</f>
        <v>0.05</v>
      </c>
      <c r="E16" s="3">
        <f>Activities!M16</f>
        <v>58</v>
      </c>
      <c r="F16" s="3" t="str">
        <f>Activities!$I$16</f>
        <v>kg CO2e/GJ</v>
      </c>
      <c r="G16" s="16">
        <f>VLOOKUP(Activities!L16,Lookups!$E:$G,2,FALSE)</f>
        <v>0.05</v>
      </c>
      <c r="H16" s="3">
        <f t="shared" si="0"/>
        <v>99774906</v>
      </c>
      <c r="I16" s="3">
        <f t="shared" si="1"/>
        <v>99774.906000000003</v>
      </c>
      <c r="J16" s="3">
        <f t="shared" si="2"/>
        <v>86012.85</v>
      </c>
      <c r="K16" s="3">
        <f t="shared" si="3"/>
        <v>2.9000000000000004</v>
      </c>
      <c r="L16" s="16">
        <f t="shared" si="4"/>
        <v>7.0710678118654766E-2</v>
      </c>
      <c r="M16" s="3">
        <f t="shared" si="5"/>
        <v>49775159.336544208</v>
      </c>
    </row>
    <row r="17" spans="1:13" x14ac:dyDescent="0.3">
      <c r="A17" s="3" t="str">
        <f>"[Scope " &amp; Activities!$A$17 &amp; "] " &amp; Activities!$B$17 &amp; " | " &amp; Activities!$C$17 &amp; " | " &amp; Activities!$D$17</f>
        <v>[Scope 1] stationary combusion | Incenerator firing | Incenerator firing - U_22 firing</v>
      </c>
      <c r="B17" s="3">
        <f>Activities!$F$17</f>
        <v>1747136</v>
      </c>
      <c r="C17" s="3" t="str">
        <f>Activities!$G$17</f>
        <v>GJ</v>
      </c>
      <c r="D17" s="16">
        <f>VLOOKUP(Activities!K17,Lookups!$A:$C,2,FALSE)</f>
        <v>0.05</v>
      </c>
      <c r="E17" s="3">
        <f>Activities!M17</f>
        <v>58</v>
      </c>
      <c r="F17" s="3" t="str">
        <f>Activities!$I$17</f>
        <v>kg CO2e/GJ</v>
      </c>
      <c r="G17" s="16">
        <f>VLOOKUP(Activities!L17,Lookups!$E:$G,2,FALSE)</f>
        <v>0.05</v>
      </c>
      <c r="H17" s="3">
        <f t="shared" si="0"/>
        <v>101333888</v>
      </c>
      <c r="I17" s="3">
        <f t="shared" si="1"/>
        <v>101333.88800000001</v>
      </c>
      <c r="J17" s="3">
        <f t="shared" si="2"/>
        <v>87356.800000000003</v>
      </c>
      <c r="K17" s="3">
        <f t="shared" si="3"/>
        <v>2.9000000000000004</v>
      </c>
      <c r="L17" s="16">
        <f t="shared" si="4"/>
        <v>7.0710678118654766E-2</v>
      </c>
      <c r="M17" s="3">
        <f t="shared" si="5"/>
        <v>51342784.28598275</v>
      </c>
    </row>
    <row r="18" spans="1:13" x14ac:dyDescent="0.3">
      <c r="A18" s="3" t="str">
        <f>"[Scope " &amp; Activities!$A$18 &amp; "] " &amp; Activities!$B$18 &amp; " | " &amp; Activities!$C$18 &amp; " | " &amp; Activities!$D$18</f>
        <v>[Scope 1] stationary combusion | Fuel oil firing | Fuel oil firing</v>
      </c>
      <c r="B18" s="3">
        <f>Activities!$F$18</f>
        <v>15000</v>
      </c>
      <c r="C18" s="3" t="str">
        <f>Activities!$G$18</f>
        <v>GJ</v>
      </c>
      <c r="D18" s="16">
        <f>VLOOKUP(Activities!K18,Lookups!$A:$C,2,FALSE)</f>
        <v>0.05</v>
      </c>
      <c r="E18" s="3">
        <f>Activities!M18</f>
        <v>77.400000000000006</v>
      </c>
      <c r="F18" s="3" t="str">
        <f>Activities!$I$18</f>
        <v>kg CO2e/GJ</v>
      </c>
      <c r="G18" s="16">
        <f>VLOOKUP(Activities!L18,Lookups!$E:$G,2,FALSE)</f>
        <v>0.05</v>
      </c>
      <c r="H18" s="3">
        <f t="shared" si="0"/>
        <v>1161000</v>
      </c>
      <c r="I18" s="3">
        <f t="shared" si="1"/>
        <v>1161</v>
      </c>
      <c r="J18" s="3">
        <f t="shared" si="2"/>
        <v>750</v>
      </c>
      <c r="K18" s="3">
        <f t="shared" si="3"/>
        <v>3.8700000000000006</v>
      </c>
      <c r="L18" s="16">
        <f t="shared" si="4"/>
        <v>7.0710678118654766E-2</v>
      </c>
      <c r="M18" s="3">
        <f t="shared" si="5"/>
        <v>6739.6050000000023</v>
      </c>
    </row>
    <row r="19" spans="1:13" x14ac:dyDescent="0.3">
      <c r="A19" s="3" t="str">
        <f>"[Scope " &amp; Activities!$A$19 &amp; "] " &amp; Activities!$B$19 &amp; " | " &amp; Activities!$C$19 &amp; " | " &amp; Activities!$D$19</f>
        <v>[Scope 1] stationary combusion | Diesel firing | Diesel firing - Electric substations</v>
      </c>
      <c r="B19" s="3">
        <f>Activities!$F$19</f>
        <v>10000</v>
      </c>
      <c r="C19" s="3" t="str">
        <f>Activities!$G$19</f>
        <v>L</v>
      </c>
      <c r="D19" s="16">
        <f>VLOOKUP(Activities!K19,Lookups!$A:$C,2,FALSE)</f>
        <v>0.05</v>
      </c>
      <c r="E19" s="3">
        <f>Activities!M19</f>
        <v>2.68</v>
      </c>
      <c r="F19" s="3" t="str">
        <f>Activities!$I$19</f>
        <v>kg CO2e/L</v>
      </c>
      <c r="G19" s="16">
        <f>VLOOKUP(Activities!L19,Lookups!$E:$G,2,FALSE)</f>
        <v>0.3</v>
      </c>
      <c r="H19" s="3">
        <f t="shared" si="0"/>
        <v>26800</v>
      </c>
      <c r="I19" s="3">
        <f t="shared" si="1"/>
        <v>26.8</v>
      </c>
      <c r="J19" s="3">
        <f t="shared" si="2"/>
        <v>500</v>
      </c>
      <c r="K19" s="3">
        <f t="shared" si="3"/>
        <v>0.80400000000000005</v>
      </c>
      <c r="L19" s="16">
        <f t="shared" si="4"/>
        <v>0.30413812651491096</v>
      </c>
      <c r="M19" s="3">
        <f t="shared" si="5"/>
        <v>66.43719999999999</v>
      </c>
    </row>
    <row r="20" spans="1:13" x14ac:dyDescent="0.3">
      <c r="A20" s="3" t="str">
        <f>"[Scope " &amp; Activities!$A$20 &amp; "] " &amp; Activities!$B$20 &amp; " | " &amp; Activities!$C$20 &amp; " | " &amp; Activities!$D$20</f>
        <v>[Scope 1] stationary combusion | Diesel firing | Diesel firing - Disel Fire pumps</v>
      </c>
      <c r="B20" s="3">
        <f>Activities!$F$20</f>
        <v>6000</v>
      </c>
      <c r="C20" s="3" t="str">
        <f>Activities!$G$20</f>
        <v>L</v>
      </c>
      <c r="D20" s="16">
        <f>VLOOKUP(Activities!K20,Lookups!$A:$C,2,FALSE)</f>
        <v>0.05</v>
      </c>
      <c r="E20" s="3">
        <f>Activities!M20</f>
        <v>2.68</v>
      </c>
      <c r="F20" s="3" t="str">
        <f>Activities!$I$20</f>
        <v>kg CO2e/L</v>
      </c>
      <c r="G20" s="16">
        <f>VLOOKUP(Activities!L20,Lookups!$E:$G,2,FALSE)</f>
        <v>0.3</v>
      </c>
      <c r="H20" s="3">
        <f t="shared" si="0"/>
        <v>16080.000000000002</v>
      </c>
      <c r="I20" s="3">
        <f t="shared" si="1"/>
        <v>16.080000000000002</v>
      </c>
      <c r="J20" s="3">
        <f t="shared" si="2"/>
        <v>300</v>
      </c>
      <c r="K20" s="3">
        <f t="shared" si="3"/>
        <v>0.80400000000000005</v>
      </c>
      <c r="L20" s="16">
        <f t="shared" si="4"/>
        <v>0.30413812651491096</v>
      </c>
      <c r="M20" s="3">
        <f t="shared" si="5"/>
        <v>23.917392000000003</v>
      </c>
    </row>
    <row r="21" spans="1:13" x14ac:dyDescent="0.3">
      <c r="A21" s="3" t="str">
        <f>"[Scope " &amp; Activities!$A$21 &amp; "] " &amp; Activities!$B$21 &amp; " | " &amp; Activities!$C$21 &amp; " | " &amp; Activities!$D$21</f>
        <v>[Scope 1] Mobile combusion | Diesel | Diesel - Forklifts</v>
      </c>
      <c r="B21" s="3">
        <f>Activities!$F$21</f>
        <v>180000</v>
      </c>
      <c r="C21" s="3" t="str">
        <f>Activities!$G$21</f>
        <v>L diesel</v>
      </c>
      <c r="D21" s="16">
        <f>VLOOKUP(Activities!K21,Lookups!$A:$C,2,FALSE)</f>
        <v>0.05</v>
      </c>
      <c r="E21" s="3">
        <f>Activities!M21</f>
        <v>2.68</v>
      </c>
      <c r="F21" s="3" t="str">
        <f>Activities!$I$21</f>
        <v>kg CO2e/L</v>
      </c>
      <c r="G21" s="16">
        <f>VLOOKUP(Activities!L21,Lookups!$E:$G,2,FALSE)</f>
        <v>0.3</v>
      </c>
      <c r="H21" s="3">
        <f t="shared" si="0"/>
        <v>482400</v>
      </c>
      <c r="I21" s="3">
        <f t="shared" si="1"/>
        <v>482.4</v>
      </c>
      <c r="J21" s="3">
        <f t="shared" si="2"/>
        <v>9000</v>
      </c>
      <c r="K21" s="3">
        <f t="shared" si="3"/>
        <v>0.80400000000000005</v>
      </c>
      <c r="L21" s="16">
        <f t="shared" si="4"/>
        <v>0.30413812651491096</v>
      </c>
      <c r="M21" s="3">
        <f t="shared" si="5"/>
        <v>21525.652799999989</v>
      </c>
    </row>
    <row r="22" spans="1:13" x14ac:dyDescent="0.3">
      <c r="A22" s="3" t="str">
        <f>"[Scope " &amp; Activities!$A$22 &amp; "] " &amp; Activities!$B$22 &amp; " | " &amp; Activities!$C$22 &amp; " | " &amp; Activities!$D$22</f>
        <v>[Scope 1] Mobile combusion | Diesel | Diesel - Fire vehicle</v>
      </c>
      <c r="B22" s="3">
        <f>Activities!$F$22</f>
        <v>20000</v>
      </c>
      <c r="C22" s="3" t="str">
        <f>Activities!$G$22</f>
        <v>L diesel</v>
      </c>
      <c r="D22" s="16">
        <f>VLOOKUP(Activities!K22,Lookups!$A:$C,2,FALSE)</f>
        <v>0.05</v>
      </c>
      <c r="E22" s="3">
        <f>Activities!M22</f>
        <v>2.68</v>
      </c>
      <c r="F22" s="3" t="str">
        <f>Activities!$I$22</f>
        <v>kg CO2e/L</v>
      </c>
      <c r="G22" s="16">
        <f>VLOOKUP(Activities!L22,Lookups!$E:$G,2,FALSE)</f>
        <v>0.3</v>
      </c>
      <c r="H22" s="3">
        <f t="shared" si="0"/>
        <v>53600</v>
      </c>
      <c r="I22" s="3">
        <f t="shared" si="1"/>
        <v>53.6</v>
      </c>
      <c r="J22" s="3">
        <f t="shared" si="2"/>
        <v>1000</v>
      </c>
      <c r="K22" s="3">
        <f t="shared" si="3"/>
        <v>0.80400000000000005</v>
      </c>
      <c r="L22" s="16">
        <f t="shared" si="4"/>
        <v>0.30413812651491096</v>
      </c>
      <c r="M22" s="3">
        <f t="shared" si="5"/>
        <v>265.74879999999996</v>
      </c>
    </row>
    <row r="23" spans="1:13" x14ac:dyDescent="0.3">
      <c r="A23" s="3" t="str">
        <f>"[Scope " &amp; Activities!$A$23 &amp; "] " &amp; Activities!$B$23 &amp; " | " &amp; Activities!$C$23 &amp; " | " &amp; Activities!$D$23</f>
        <v>[Scope 1] Mobile combusion | Diesel | Diesel - maintinance vehicles</v>
      </c>
      <c r="B23" s="3">
        <f>Activities!$F$23</f>
        <v>28500</v>
      </c>
      <c r="C23" s="3" t="str">
        <f>Activities!$G$23</f>
        <v>L diesel</v>
      </c>
      <c r="D23" s="16">
        <f>VLOOKUP(Activities!K23,Lookups!$A:$C,2,FALSE)</f>
        <v>0.05</v>
      </c>
      <c r="E23" s="3">
        <f>Activities!M23</f>
        <v>2.68</v>
      </c>
      <c r="F23" s="3" t="str">
        <f>Activities!$I$23</f>
        <v>kg CO2e/L</v>
      </c>
      <c r="G23" s="16">
        <f>VLOOKUP(Activities!L23,Lookups!$E:$G,2,FALSE)</f>
        <v>0.3</v>
      </c>
      <c r="H23" s="3">
        <f t="shared" si="0"/>
        <v>76380</v>
      </c>
      <c r="I23" s="3">
        <f t="shared" si="1"/>
        <v>76.38</v>
      </c>
      <c r="J23" s="3">
        <f t="shared" si="2"/>
        <v>1425</v>
      </c>
      <c r="K23" s="3">
        <f t="shared" si="3"/>
        <v>0.80400000000000005</v>
      </c>
      <c r="L23" s="16">
        <f t="shared" si="4"/>
        <v>0.30413812651491096</v>
      </c>
      <c r="M23" s="3">
        <f t="shared" si="5"/>
        <v>539.63615699999991</v>
      </c>
    </row>
    <row r="24" spans="1:13" x14ac:dyDescent="0.3">
      <c r="A24" s="3" t="str">
        <f>"[Scope " &amp; Activities!$A$24 &amp; "] " &amp; Activities!$B$24 &amp; " | " &amp; Activities!$C$24 &amp; " | " &amp; Activities!$D$24</f>
        <v>[Scope 1] Mobile combusion | Diesel | Diesel - shuttle/Bus movements</v>
      </c>
      <c r="B24" s="3">
        <f>Activities!$F$24</f>
        <v>29000</v>
      </c>
      <c r="C24" s="3" t="str">
        <f>Activities!$G$24</f>
        <v>L diesel</v>
      </c>
      <c r="D24" s="16">
        <f>VLOOKUP(Activities!K24,Lookups!$A:$C,2,FALSE)</f>
        <v>0.05</v>
      </c>
      <c r="E24" s="3">
        <f>Activities!M24</f>
        <v>2.68</v>
      </c>
      <c r="F24" s="3" t="str">
        <f>Activities!$I$24</f>
        <v>kg CO2e/L</v>
      </c>
      <c r="G24" s="16">
        <f>VLOOKUP(Activities!L24,Lookups!$E:$G,2,FALSE)</f>
        <v>0.3</v>
      </c>
      <c r="H24" s="3">
        <f t="shared" si="0"/>
        <v>77720</v>
      </c>
      <c r="I24" s="3">
        <f t="shared" si="1"/>
        <v>77.72</v>
      </c>
      <c r="J24" s="3">
        <f t="shared" si="2"/>
        <v>1450</v>
      </c>
      <c r="K24" s="3">
        <f t="shared" si="3"/>
        <v>0.80400000000000005</v>
      </c>
      <c r="L24" s="16">
        <f t="shared" si="4"/>
        <v>0.30413812651491096</v>
      </c>
      <c r="M24" s="3">
        <f t="shared" si="5"/>
        <v>558.73685199999977</v>
      </c>
    </row>
    <row r="25" spans="1:13" x14ac:dyDescent="0.3">
      <c r="A25" s="3" t="str">
        <f>"[Scope " &amp; Activities!$A$25 &amp; "] " &amp; Activities!$B$25 &amp; " | " &amp; Activities!$C$25 &amp; " | " &amp; Activities!$D$25</f>
        <v>[Scope 1] Fugitive emissions | Storage tanks breathing &amp; working losses | Storage tanks breathing &amp; working losses - Crude Tanks</v>
      </c>
      <c r="B25" s="3">
        <f>Activities!$F$25</f>
        <v>8124251</v>
      </c>
      <c r="C25" s="3" t="str">
        <f>Activities!$G$25</f>
        <v>m3 throughput</v>
      </c>
      <c r="D25" s="16">
        <f>VLOOKUP(Activities!K25,Lookups!$A:$C,2,FALSE)</f>
        <v>0.05</v>
      </c>
      <c r="E25" s="3">
        <f>Activities!M25</f>
        <v>0.15</v>
      </c>
      <c r="F25" s="3" t="str">
        <f>Activities!$I$25</f>
        <v>kg CO2e/m3</v>
      </c>
      <c r="G25" s="16">
        <f>VLOOKUP(Activities!L25,Lookups!$E:$G,2,FALSE)</f>
        <v>0.3</v>
      </c>
      <c r="H25" s="3">
        <f t="shared" si="0"/>
        <v>1218637.6499999999</v>
      </c>
      <c r="I25" s="3">
        <f t="shared" si="1"/>
        <v>1218.6376499999999</v>
      </c>
      <c r="J25" s="3">
        <f t="shared" si="2"/>
        <v>406212.55000000005</v>
      </c>
      <c r="K25" s="3">
        <f t="shared" si="3"/>
        <v>4.4999999999999998E-2</v>
      </c>
      <c r="L25" s="16">
        <f t="shared" si="4"/>
        <v>0.30413812651491096</v>
      </c>
      <c r="M25" s="3">
        <f t="shared" si="5"/>
        <v>137369.68928477081</v>
      </c>
    </row>
    <row r="26" spans="1:13" x14ac:dyDescent="0.3">
      <c r="A26" s="3" t="str">
        <f>"[Scope " &amp; Activities!$A$26 &amp; "] " &amp; Activities!$B$26 &amp; " | " &amp; Activities!$C$26 &amp; " | " &amp; Activities!$D$26</f>
        <v>[Scope 1] Fugitive emissions | Storage tanks breathing &amp; working losses | Storage tanks breathing &amp; working losses - LPG tanks</v>
      </c>
      <c r="B26" s="3">
        <f>Activities!$F$26</f>
        <v>406213</v>
      </c>
      <c r="C26" s="3" t="str">
        <f>Activities!$G$26</f>
        <v>m3 throughput</v>
      </c>
      <c r="D26" s="16">
        <f>VLOOKUP(Activities!K26,Lookups!$A:$C,2,FALSE)</f>
        <v>0.05</v>
      </c>
      <c r="E26" s="3">
        <f>Activities!M26</f>
        <v>0.15</v>
      </c>
      <c r="F26" s="3" t="str">
        <f>Activities!$I$26</f>
        <v>kg CO2e/m3</v>
      </c>
      <c r="G26" s="16">
        <f>VLOOKUP(Activities!L26,Lookups!$E:$G,2,FALSE)</f>
        <v>0.3</v>
      </c>
      <c r="H26" s="3">
        <f t="shared" si="0"/>
        <v>60931.95</v>
      </c>
      <c r="I26" s="3">
        <f t="shared" si="1"/>
        <v>60.931950000000001</v>
      </c>
      <c r="J26" s="3">
        <f t="shared" si="2"/>
        <v>20310.650000000001</v>
      </c>
      <c r="K26" s="3">
        <f t="shared" si="3"/>
        <v>4.4999999999999998E-2</v>
      </c>
      <c r="L26" s="16">
        <f t="shared" si="4"/>
        <v>0.30413812651491096</v>
      </c>
      <c r="M26" s="3">
        <f t="shared" si="5"/>
        <v>343.42498409923127</v>
      </c>
    </row>
    <row r="27" spans="1:13" x14ac:dyDescent="0.3">
      <c r="A27" s="3" t="str">
        <f>"[Scope " &amp; Activities!$A$27 &amp; "] " &amp; Activities!$B$27 &amp; " | " &amp; Activities!$C$27 &amp; " | " &amp; Activities!$D$27</f>
        <v>[Scope 1] Fugitive emissions | Storage tanks breathing &amp; working losses | Storage tanks breathing &amp; working losses - Naphtha Tanks</v>
      </c>
      <c r="B27" s="3">
        <f>Activities!$F$27</f>
        <v>2031063</v>
      </c>
      <c r="C27" s="3" t="str">
        <f>Activities!$G$27</f>
        <v>m3 throughput</v>
      </c>
      <c r="D27" s="16">
        <f>VLOOKUP(Activities!K27,Lookups!$A:$C,2,FALSE)</f>
        <v>0.05</v>
      </c>
      <c r="E27" s="3">
        <f>Activities!M27</f>
        <v>0.15</v>
      </c>
      <c r="F27" s="3" t="str">
        <f>Activities!$I$27</f>
        <v>kg CO2e/m3</v>
      </c>
      <c r="G27" s="16">
        <f>VLOOKUP(Activities!L27,Lookups!$E:$G,2,FALSE)</f>
        <v>0.3</v>
      </c>
      <c r="H27" s="3">
        <f t="shared" si="0"/>
        <v>304659.45</v>
      </c>
      <c r="I27" s="3">
        <f t="shared" si="1"/>
        <v>304.65944999999999</v>
      </c>
      <c r="J27" s="3">
        <f t="shared" si="2"/>
        <v>101553.15000000001</v>
      </c>
      <c r="K27" s="3">
        <f t="shared" si="3"/>
        <v>4.4999999999999998E-2</v>
      </c>
      <c r="L27" s="16">
        <f t="shared" si="4"/>
        <v>0.30413812651491096</v>
      </c>
      <c r="M27" s="3">
        <f t="shared" si="5"/>
        <v>8585.6076938729802</v>
      </c>
    </row>
    <row r="28" spans="1:13" x14ac:dyDescent="0.3">
      <c r="A28" s="3" t="str">
        <f>"[Scope " &amp; Activities!$A$28 &amp; "] " &amp; Activities!$B$28 &amp; " | " &amp; Activities!$C$28 &amp; " | " &amp; Activities!$D$28</f>
        <v>[Scope 1] Fugitive emissions | Storage tanks breathing &amp; working losses | Storage tanks breathing &amp; working losses - Kerosene Tanks</v>
      </c>
      <c r="B28" s="3">
        <f>Activities!$F$28</f>
        <v>812425</v>
      </c>
      <c r="C28" s="3" t="str">
        <f>Activities!$G$28</f>
        <v>m3 throughput</v>
      </c>
      <c r="D28" s="16">
        <f>VLOOKUP(Activities!K28,Lookups!$A:$C,2,FALSE)</f>
        <v>0.05</v>
      </c>
      <c r="E28" s="3">
        <f>Activities!M28</f>
        <v>0.15</v>
      </c>
      <c r="F28" s="3" t="str">
        <f>Activities!$I$28</f>
        <v>kg CO2e/m3</v>
      </c>
      <c r="G28" s="16">
        <f>VLOOKUP(Activities!L28,Lookups!$E:$G,2,FALSE)</f>
        <v>0.3</v>
      </c>
      <c r="H28" s="3">
        <f t="shared" si="0"/>
        <v>121863.75</v>
      </c>
      <c r="I28" s="3">
        <f t="shared" si="1"/>
        <v>121.86375</v>
      </c>
      <c r="J28" s="3">
        <f t="shared" si="2"/>
        <v>40621.25</v>
      </c>
      <c r="K28" s="3">
        <f t="shared" si="3"/>
        <v>4.4999999999999998E-2</v>
      </c>
      <c r="L28" s="16">
        <f t="shared" si="4"/>
        <v>0.30413812651491096</v>
      </c>
      <c r="M28" s="3">
        <f t="shared" si="5"/>
        <v>1373.696554675781</v>
      </c>
    </row>
    <row r="29" spans="1:13" x14ac:dyDescent="0.3">
      <c r="A29" s="3" t="str">
        <f>"[Scope " &amp; Activities!$A$29 &amp; "] " &amp; Activities!$B$29 &amp; " | " &amp; Activities!$C$29 &amp; " | " &amp; Activities!$D$29</f>
        <v>[Scope 1] Fugitive emissions | Storage tanks breathing &amp; working losses | Storage tanks breathing &amp; working losses - Diesel Tanks</v>
      </c>
      <c r="B29" s="3">
        <f>Activities!$F$29</f>
        <v>2843488</v>
      </c>
      <c r="C29" s="3" t="str">
        <f>Activities!$G$29</f>
        <v>m3 throughput</v>
      </c>
      <c r="D29" s="16">
        <f>VLOOKUP(Activities!K29,Lookups!$A:$C,2,FALSE)</f>
        <v>0.05</v>
      </c>
      <c r="E29" s="3">
        <f>Activities!M29</f>
        <v>0.15</v>
      </c>
      <c r="F29" s="3" t="str">
        <f>Activities!$I$29</f>
        <v>kg CO2e/m3</v>
      </c>
      <c r="G29" s="16">
        <f>VLOOKUP(Activities!L29,Lookups!$E:$G,2,FALSE)</f>
        <v>0.3</v>
      </c>
      <c r="H29" s="3">
        <f t="shared" si="0"/>
        <v>426523.2</v>
      </c>
      <c r="I29" s="3">
        <f t="shared" si="1"/>
        <v>426.52320000000003</v>
      </c>
      <c r="J29" s="3">
        <f t="shared" si="2"/>
        <v>142174.39999999999</v>
      </c>
      <c r="K29" s="3">
        <f t="shared" si="3"/>
        <v>4.4999999999999998E-2</v>
      </c>
      <c r="L29" s="16">
        <f t="shared" si="4"/>
        <v>0.30413812651491096</v>
      </c>
      <c r="M29" s="3">
        <f t="shared" si="5"/>
        <v>16827.788712787195</v>
      </c>
    </row>
    <row r="30" spans="1:13" x14ac:dyDescent="0.3">
      <c r="A30" s="3" t="str">
        <f>"[Scope " &amp; Activities!$A$30 &amp; "] " &amp; Activities!$B$30 &amp; " | " &amp; Activities!$C$30 &amp; " | " &amp; Activities!$D$30</f>
        <v>[Scope 1] Fugitive emissions | Product loading/unloading | Product loading/unloading</v>
      </c>
      <c r="B30" s="3">
        <f>Activities!$F$30</f>
        <v>6336916</v>
      </c>
      <c r="C30" s="3" t="str">
        <f>Activities!$G$30</f>
        <v>m3 loaded</v>
      </c>
      <c r="D30" s="16">
        <f>VLOOKUP(Activities!K30,Lookups!$A:$C,2,FALSE)</f>
        <v>0.05</v>
      </c>
      <c r="E30" s="3">
        <f>Activities!M30</f>
        <v>0.12</v>
      </c>
      <c r="F30" s="3" t="str">
        <f>Activities!$I$30</f>
        <v>kg CO2e/m3</v>
      </c>
      <c r="G30" s="16">
        <f>VLOOKUP(Activities!L30,Lookups!$E:$G,2,FALSE)</f>
        <v>0.3</v>
      </c>
      <c r="H30" s="3">
        <f t="shared" si="0"/>
        <v>760429.91999999993</v>
      </c>
      <c r="I30" s="3">
        <f t="shared" si="1"/>
        <v>760.42991999999992</v>
      </c>
      <c r="J30" s="3">
        <f t="shared" si="2"/>
        <v>316845.80000000005</v>
      </c>
      <c r="K30" s="3">
        <f t="shared" si="3"/>
        <v>3.5999999999999997E-2</v>
      </c>
      <c r="L30" s="16">
        <f t="shared" si="4"/>
        <v>0.30413812651491096</v>
      </c>
      <c r="M30" s="3">
        <f t="shared" si="5"/>
        <v>53488.463848886568</v>
      </c>
    </row>
    <row r="31" spans="1:13" x14ac:dyDescent="0.3">
      <c r="A31" s="3" t="str">
        <f>"[Scope " &amp; Activities!$A$31 &amp; "] " &amp; Activities!$B$31 &amp; " | " &amp; Activities!$C$31 &amp; " | " &amp; Activities!$D$31</f>
        <v>[Scope 1] Fugitive emissions | Fire extinguishers | Fire extinguishers</v>
      </c>
      <c r="B31" s="3">
        <f>Activities!$F$31</f>
        <v>200</v>
      </c>
      <c r="C31" s="3" t="str">
        <f>Activities!$G$31</f>
        <v>kg CO2</v>
      </c>
      <c r="D31" s="16">
        <f>VLOOKUP(Activities!K31,Lookups!$A:$C,2,FALSE)</f>
        <v>0.05</v>
      </c>
      <c r="E31" s="3">
        <f>Activities!M31</f>
        <v>1</v>
      </c>
      <c r="F31" s="3" t="str">
        <f>Activities!$I$31</f>
        <v>kg CO2e/kg CO2</v>
      </c>
      <c r="G31" s="16">
        <f>VLOOKUP(Activities!L31,Lookups!$E:$G,2,FALSE)</f>
        <v>0.3</v>
      </c>
      <c r="H31" s="3">
        <f t="shared" si="0"/>
        <v>200</v>
      </c>
      <c r="I31" s="3">
        <f t="shared" si="1"/>
        <v>0.2</v>
      </c>
      <c r="J31" s="3">
        <f t="shared" si="2"/>
        <v>10</v>
      </c>
      <c r="K31" s="3">
        <f t="shared" si="3"/>
        <v>0.3</v>
      </c>
      <c r="L31" s="16">
        <f t="shared" si="4"/>
        <v>0.30413812651491096</v>
      </c>
      <c r="M31" s="3">
        <f t="shared" si="5"/>
        <v>3.6999999999999993E-3</v>
      </c>
    </row>
    <row r="32" spans="1:13" x14ac:dyDescent="0.3">
      <c r="A32" s="3" t="str">
        <f>"[Scope " &amp; Activities!$A$32 &amp; "] " &amp; Activities!$B$32 &amp; " | " &amp; Activities!$C$32 &amp; " | " &amp; Activities!$D$32</f>
        <v>[Scope 1] Fugitive emissions | Refrigerant leaks | Refrigerant leaks - R-134a</v>
      </c>
      <c r="B32" s="3">
        <f>Activities!$F$32</f>
        <v>45</v>
      </c>
      <c r="C32" s="3" t="str">
        <f>Activities!$G$32</f>
        <v>kg refrigerant</v>
      </c>
      <c r="D32" s="16">
        <f>VLOOKUP(Activities!K32,Lookups!$A:$C,2,FALSE)</f>
        <v>0.05</v>
      </c>
      <c r="E32" s="3">
        <f>Activities!H32</f>
        <v>1.3</v>
      </c>
      <c r="F32" s="3" t="str">
        <f>Activities!$I$32</f>
        <v>tCO2e/kg refrigerant</v>
      </c>
      <c r="G32" s="16">
        <f>VLOOKUP(Activities!L32,Lookups!$E:$G,2,FALSE)</f>
        <v>0.3</v>
      </c>
      <c r="H32" s="3">
        <f t="shared" si="0"/>
        <v>58.5</v>
      </c>
      <c r="I32" s="3">
        <f t="shared" si="1"/>
        <v>5.8500000000000003E-2</v>
      </c>
      <c r="J32" s="3">
        <f t="shared" si="2"/>
        <v>2.25</v>
      </c>
      <c r="K32" s="3">
        <f t="shared" si="3"/>
        <v>0.39</v>
      </c>
      <c r="L32" s="16">
        <f t="shared" si="4"/>
        <v>0.30413812651491096</v>
      </c>
      <c r="M32" s="3">
        <f t="shared" si="5"/>
        <v>3.1655812500000003E-4</v>
      </c>
    </row>
    <row r="33" spans="1:13" x14ac:dyDescent="0.3">
      <c r="A33" s="3" t="str">
        <f>"[Scope " &amp; Activities!$A$33 &amp; "] " &amp; Activities!$B$33 &amp; " | " &amp; Activities!$C$33 &amp; " | " &amp; Activities!$D$33</f>
        <v>[Scope 1] Fugitive emissions | Refrigerant leaks | Refrigerant leaks - R-410a</v>
      </c>
      <c r="B33" s="3">
        <f>Activities!$F$33</f>
        <v>60</v>
      </c>
      <c r="C33" s="3" t="str">
        <f>Activities!$G$33</f>
        <v>kg refrigerant</v>
      </c>
      <c r="D33" s="16">
        <f>VLOOKUP(Activities!K33,Lookups!$A:$C,2,FALSE)</f>
        <v>0.05</v>
      </c>
      <c r="E33" s="3">
        <f>Activities!H33</f>
        <v>1.9235</v>
      </c>
      <c r="F33" s="3" t="str">
        <f>Activities!$I$33</f>
        <v>tCO2e/kg refrigerant</v>
      </c>
      <c r="G33" s="16">
        <f>VLOOKUP(Activities!L33,Lookups!$E:$G,2,FALSE)</f>
        <v>0.3</v>
      </c>
      <c r="H33" s="3">
        <f t="shared" si="0"/>
        <v>115.41</v>
      </c>
      <c r="I33" s="3">
        <f t="shared" si="1"/>
        <v>0.11541</v>
      </c>
      <c r="J33" s="3">
        <f t="shared" si="2"/>
        <v>3</v>
      </c>
      <c r="K33" s="3">
        <f t="shared" si="3"/>
        <v>0.57704999999999995</v>
      </c>
      <c r="L33" s="16">
        <f t="shared" si="4"/>
        <v>0.30413812651491096</v>
      </c>
      <c r="M33" s="3">
        <f t="shared" si="5"/>
        <v>1.2320507992499999E-3</v>
      </c>
    </row>
    <row r="34" spans="1:13" x14ac:dyDescent="0.3">
      <c r="A34" s="3" t="str">
        <f>"[Scope " &amp; Activities!$A$34 &amp; "] " &amp; Activities!$B$34 &amp; " | " &amp; Activities!$C$34 &amp; " | " &amp; Activities!$D$34</f>
        <v>[Scope 1] Fugitive emissions | Refrigerant leaks | Refrigerant leaks - R-407c</v>
      </c>
      <c r="B34" s="3">
        <f>Activities!$F$34</f>
        <v>30</v>
      </c>
      <c r="C34" s="3" t="str">
        <f>Activities!$G$34</f>
        <v>kg refrigerant</v>
      </c>
      <c r="D34" s="16">
        <f>VLOOKUP(Activities!K34,Lookups!$A:$C,2,FALSE)</f>
        <v>0.05</v>
      </c>
      <c r="E34" s="3">
        <f>Activities!H34</f>
        <v>1.6242099999999999</v>
      </c>
      <c r="F34" s="3" t="str">
        <f>Activities!$I$34</f>
        <v>tCO2e/kg refrigerant</v>
      </c>
      <c r="G34" s="16">
        <f>VLOOKUP(Activities!L34,Lookups!$E:$G,2,FALSE)</f>
        <v>0.3</v>
      </c>
      <c r="H34" s="3">
        <f t="shared" ref="H34:H51" si="6">IF(ISNUMBER(SEARCH("kg",F34)),B34*E34,B34*E34*1000)</f>
        <v>48.726299999999995</v>
      </c>
      <c r="I34" s="3">
        <f t="shared" ref="I34:I51" si="7">H34/1000</f>
        <v>4.8726299999999993E-2</v>
      </c>
      <c r="J34" s="3">
        <f t="shared" ref="J34:J51" si="8">B34*D34</f>
        <v>1.5</v>
      </c>
      <c r="K34" s="3">
        <f t="shared" ref="K34:K51" si="9">E34*G34</f>
        <v>0.48726299999999995</v>
      </c>
      <c r="L34" s="16">
        <f t="shared" ref="L34:L51" si="10">SQRT(D34^2+G34^2)</f>
        <v>0.30413812651491096</v>
      </c>
      <c r="M34" s="3">
        <f t="shared" ref="M34:M51" si="11">(L34*I34)^2</f>
        <v>2.1961833883132493E-4</v>
      </c>
    </row>
    <row r="35" spans="1:13" x14ac:dyDescent="0.3">
      <c r="A35" s="3" t="str">
        <f>"[Scope " &amp; Activities!$A$35 &amp; "] " &amp; Activities!$B$35 &amp; " | " &amp; Activities!$C$35 &amp; " | " &amp; Activities!$D$35</f>
        <v>[Scope 1] Fugitive emissions | Refrigerant leaks | Refrigerant leaks - R-404a</v>
      </c>
      <c r="B35" s="3">
        <f>Activities!$F$35</f>
        <v>15</v>
      </c>
      <c r="C35" s="3" t="str">
        <f>Activities!$G$35</f>
        <v>kg refrigerant</v>
      </c>
      <c r="D35" s="16">
        <f>VLOOKUP(Activities!K35,Lookups!$A:$C,2,FALSE)</f>
        <v>0.05</v>
      </c>
      <c r="E35" s="3">
        <f>Activities!H35</f>
        <v>3.9428000000000001</v>
      </c>
      <c r="F35" s="3" t="str">
        <f>Activities!$I$35</f>
        <v>tCO2e/kg refrigerant</v>
      </c>
      <c r="G35" s="16">
        <f>VLOOKUP(Activities!L35,Lookups!$E:$G,2,FALSE)</f>
        <v>0.3</v>
      </c>
      <c r="H35" s="3">
        <f t="shared" si="6"/>
        <v>59.142000000000003</v>
      </c>
      <c r="I35" s="3">
        <f t="shared" si="7"/>
        <v>5.9142E-2</v>
      </c>
      <c r="J35" s="3">
        <f t="shared" si="8"/>
        <v>0.75</v>
      </c>
      <c r="K35" s="3">
        <f t="shared" si="9"/>
        <v>1.1828399999999999</v>
      </c>
      <c r="L35" s="16">
        <f t="shared" si="10"/>
        <v>0.30413812651491096</v>
      </c>
      <c r="M35" s="3">
        <f t="shared" si="11"/>
        <v>3.2354429516999998E-4</v>
      </c>
    </row>
    <row r="36" spans="1:13" x14ac:dyDescent="0.3">
      <c r="A36" s="3" t="str">
        <f>"[Scope " &amp; Activities!$A$36 &amp; "] " &amp; Activities!$B$36 &amp; " | " &amp; Activities!$C$36 &amp; " | " &amp; Activities!$D$36</f>
        <v>[Scope 1] Process Emission | Catalyst regeneration | Catalyst regeneration</v>
      </c>
      <c r="B36" s="3">
        <f>Activities!$F$36</f>
        <v>45000</v>
      </c>
      <c r="C36" s="3" t="str">
        <f>Activities!$G$36</f>
        <v>kg catalyst</v>
      </c>
      <c r="D36" s="16">
        <f>VLOOKUP(Activities!K36,Lookups!$A:$C,2,FALSE)</f>
        <v>0.3</v>
      </c>
      <c r="E36" s="3">
        <f>Activities!M36</f>
        <v>3.2</v>
      </c>
      <c r="F36" s="3" t="str">
        <f>Activities!$I$36</f>
        <v>kg CO2e/kg catalyst</v>
      </c>
      <c r="G36" s="16">
        <f>VLOOKUP(Activities!L36,Lookups!$E:$G,2,FALSE)</f>
        <v>0.05</v>
      </c>
      <c r="H36" s="3">
        <f t="shared" si="6"/>
        <v>144000</v>
      </c>
      <c r="I36" s="3">
        <f t="shared" si="7"/>
        <v>144</v>
      </c>
      <c r="J36" s="3">
        <f t="shared" si="8"/>
        <v>13500</v>
      </c>
      <c r="K36" s="3">
        <f t="shared" si="9"/>
        <v>0.16000000000000003</v>
      </c>
      <c r="L36" s="16">
        <f t="shared" si="10"/>
        <v>0.30413812651491096</v>
      </c>
      <c r="M36" s="3">
        <f t="shared" si="11"/>
        <v>1918.0799999999997</v>
      </c>
    </row>
    <row r="37" spans="1:13" x14ac:dyDescent="0.3">
      <c r="A37" s="3" t="str">
        <f>"[Scope " &amp; Activities!$A$37 &amp; "] " &amp; Activities!$B$37 &amp; " | " &amp; Activities!$C$37 &amp; " | " &amp; Activities!$D$37</f>
        <v xml:space="preserve">[Scope 1] Process Emission | Coke drum steaming out  | Coke drum steaming out </v>
      </c>
      <c r="B37" s="3">
        <f>Activities!$F$37</f>
        <v>30000</v>
      </c>
      <c r="C37" s="3" t="str">
        <f>Activities!$G$37</f>
        <v>tons coke</v>
      </c>
      <c r="D37" s="16">
        <f>VLOOKUP(Activities!K37,Lookups!$A:$C,2,FALSE)</f>
        <v>0.3</v>
      </c>
      <c r="E37" s="3">
        <f>Activities!M37</f>
        <v>1.5</v>
      </c>
      <c r="F37" s="3" t="str">
        <f>Activities!$I$37</f>
        <v>kg CO2e/ton coke</v>
      </c>
      <c r="G37" s="16">
        <f>VLOOKUP(Activities!L37,Lookups!$E:$G,2,FALSE)</f>
        <v>0.05</v>
      </c>
      <c r="H37" s="3">
        <f t="shared" si="6"/>
        <v>45000</v>
      </c>
      <c r="I37" s="3">
        <f t="shared" si="7"/>
        <v>45</v>
      </c>
      <c r="J37" s="3">
        <f t="shared" si="8"/>
        <v>9000</v>
      </c>
      <c r="K37" s="3">
        <f t="shared" si="9"/>
        <v>7.5000000000000011E-2</v>
      </c>
      <c r="L37" s="16">
        <f t="shared" si="10"/>
        <v>0.30413812651491096</v>
      </c>
      <c r="M37" s="3">
        <f t="shared" si="11"/>
        <v>187.31249999999997</v>
      </c>
    </row>
    <row r="38" spans="1:13" x14ac:dyDescent="0.3">
      <c r="A38" s="3" t="str">
        <f>"[Scope " &amp; Activities!$A$38 &amp; "] " &amp; Activities!$B$38 &amp; " | " &amp; Activities!$C$38 &amp; " | " &amp; Activities!$D$38</f>
        <v>[Scope 1] Process Emission | SRU process oxidation  | SRU process oxidation  - U_13</v>
      </c>
      <c r="B38" s="3">
        <f>Activities!$F$38</f>
        <v>27000</v>
      </c>
      <c r="C38" s="3" t="str">
        <f>Activities!$G$38</f>
        <v>tons sulfur</v>
      </c>
      <c r="D38" s="16">
        <f>VLOOKUP(Activities!K38,Lookups!$A:$C,2,FALSE)</f>
        <v>0.3</v>
      </c>
      <c r="E38" s="3">
        <f>Activities!M38</f>
        <v>0.35</v>
      </c>
      <c r="F38" s="3" t="str">
        <f>Activities!$I$38</f>
        <v>kg CO2e/ton sulfur</v>
      </c>
      <c r="G38" s="16">
        <f>VLOOKUP(Activities!L38,Lookups!$E:$G,2,FALSE)</f>
        <v>0.05</v>
      </c>
      <c r="H38" s="3">
        <f t="shared" si="6"/>
        <v>9450</v>
      </c>
      <c r="I38" s="3">
        <f t="shared" si="7"/>
        <v>9.4499999999999993</v>
      </c>
      <c r="J38" s="3">
        <f t="shared" si="8"/>
        <v>8100</v>
      </c>
      <c r="K38" s="3">
        <f t="shared" si="9"/>
        <v>1.7499999999999998E-2</v>
      </c>
      <c r="L38" s="16">
        <f t="shared" si="10"/>
        <v>0.30413812651491096</v>
      </c>
      <c r="M38" s="3">
        <f t="shared" si="11"/>
        <v>8.260481249999998</v>
      </c>
    </row>
    <row r="39" spans="1:13" x14ac:dyDescent="0.3">
      <c r="A39" s="3" t="str">
        <f>"[Scope " &amp; Activities!$A$39 &amp; "] " &amp; Activities!$B$39 &amp; " | " &amp; Activities!$C$39 &amp; " | " &amp; Activities!$D$39</f>
        <v>[Scope 1] Process Emission | SRU process oxidation  | SRU process oxidation  - U_22</v>
      </c>
      <c r="B39" s="3">
        <f>Activities!$F$39</f>
        <v>27500</v>
      </c>
      <c r="C39" s="3" t="str">
        <f>Activities!$G$39</f>
        <v>tons sulfur</v>
      </c>
      <c r="D39" s="16">
        <f>VLOOKUP(Activities!K39,Lookups!$A:$C,2,FALSE)</f>
        <v>0.3</v>
      </c>
      <c r="E39" s="3">
        <f>Activities!M39</f>
        <v>0.35</v>
      </c>
      <c r="F39" s="3" t="str">
        <f>Activities!$I$39</f>
        <v>kg CO2e/ton sulfur</v>
      </c>
      <c r="G39" s="16">
        <f>VLOOKUP(Activities!L39,Lookups!$E:$G,2,FALSE)</f>
        <v>0.05</v>
      </c>
      <c r="H39" s="3">
        <f t="shared" si="6"/>
        <v>9625</v>
      </c>
      <c r="I39" s="3">
        <f t="shared" si="7"/>
        <v>9.625</v>
      </c>
      <c r="J39" s="3">
        <f t="shared" si="8"/>
        <v>8250</v>
      </c>
      <c r="K39" s="3">
        <f t="shared" si="9"/>
        <v>1.7499999999999998E-2</v>
      </c>
      <c r="L39" s="16">
        <f t="shared" si="10"/>
        <v>0.30413812651491096</v>
      </c>
      <c r="M39" s="3">
        <f t="shared" si="11"/>
        <v>8.5692578124999965</v>
      </c>
    </row>
    <row r="40" spans="1:13" x14ac:dyDescent="0.3">
      <c r="A40" s="3" t="str">
        <f>"[Scope " &amp; Activities!$A$40 &amp; "] " &amp; Activities!$B$40 &amp; " | " &amp; Activities!$C$40 &amp; " | " &amp; Activities!$D$40</f>
        <v>[Scope 1] stationary combusion | Flare header reading | Flare header reading</v>
      </c>
      <c r="B40" s="3">
        <f>Activities!$F$40</f>
        <v>10000000</v>
      </c>
      <c r="C40" s="3" t="str">
        <f>Activities!$G$40</f>
        <v>Nm3</v>
      </c>
      <c r="D40" s="16">
        <f>VLOOKUP(Activities!K40,Lookups!$A:$C,2,FALSE)</f>
        <v>3.2000000000000001E-2</v>
      </c>
      <c r="E40" s="3">
        <f>Activities!M40</f>
        <v>2.1</v>
      </c>
      <c r="F40" s="3" t="str">
        <f>Activities!$I$40</f>
        <v>kg CO2e/Nm3</v>
      </c>
      <c r="G40" s="16">
        <f>VLOOKUP(Activities!L40,Lookups!$E:$G,2,FALSE)</f>
        <v>0.05</v>
      </c>
      <c r="H40" s="3">
        <f t="shared" si="6"/>
        <v>21000000</v>
      </c>
      <c r="I40" s="3">
        <f t="shared" si="7"/>
        <v>21000</v>
      </c>
      <c r="J40" s="3">
        <f t="shared" si="8"/>
        <v>320000</v>
      </c>
      <c r="K40" s="3">
        <f t="shared" si="9"/>
        <v>0.10500000000000001</v>
      </c>
      <c r="L40" s="16">
        <f t="shared" si="10"/>
        <v>5.9363288318623322E-2</v>
      </c>
      <c r="M40" s="3">
        <f t="shared" si="11"/>
        <v>1554084</v>
      </c>
    </row>
    <row r="41" spans="1:13" x14ac:dyDescent="0.3">
      <c r="A41" s="3" t="str">
        <f>"[Scope " &amp; Activities!$A$41 &amp; "] " &amp; Activities!$B$41 &amp; " | " &amp; Activities!$C$41 &amp; " | " &amp; Activities!$D$41</f>
        <v>[Scope 1] Fugitive emissions | Waste water unit CH4/N20 release | Waste water unit CH4/N20 release</v>
      </c>
      <c r="B41" s="3">
        <f>Activities!$F$41</f>
        <v>15330000</v>
      </c>
      <c r="C41" s="3" t="str">
        <f>Activities!$G$41</f>
        <v>m3 wastewater</v>
      </c>
      <c r="D41" s="16">
        <f>VLOOKUP(Activities!K41,Lookups!$A:$C,2,FALSE)</f>
        <v>0.3</v>
      </c>
      <c r="E41" s="3">
        <f>Activities!M41</f>
        <v>2.5000000000000001E-2</v>
      </c>
      <c r="F41" s="3" t="str">
        <f>Activities!$I$41</f>
        <v>kg CO2e/m3</v>
      </c>
      <c r="G41" s="16">
        <f>VLOOKUP(Activities!L41,Lookups!$E:$G,2,FALSE)</f>
        <v>0.3</v>
      </c>
      <c r="H41" s="3">
        <f t="shared" si="6"/>
        <v>383250</v>
      </c>
      <c r="I41" s="3">
        <f t="shared" si="7"/>
        <v>383.25</v>
      </c>
      <c r="J41" s="3">
        <f t="shared" si="8"/>
        <v>4599000</v>
      </c>
      <c r="K41" s="3">
        <f t="shared" si="9"/>
        <v>7.4999999999999997E-3</v>
      </c>
      <c r="L41" s="16">
        <f t="shared" si="10"/>
        <v>0.42426406871192851</v>
      </c>
      <c r="M41" s="3">
        <f t="shared" si="11"/>
        <v>26438.501250000005</v>
      </c>
    </row>
    <row r="42" spans="1:13" x14ac:dyDescent="0.3">
      <c r="A42" s="3" t="str">
        <f>"[Scope " &amp; Activities!$A$42 &amp; "] " &amp; Activities!$B$42 &amp; " | " &amp; Activities!$C$42 &amp; " | " &amp; Activities!$D$42</f>
        <v>[Scope 1] Process Emission | H2 production | H2 production - U_09 production</v>
      </c>
      <c r="B42" s="3">
        <f>Activities!$F$42</f>
        <v>101355372</v>
      </c>
      <c r="C42" s="3" t="str">
        <f>Activities!$G$42</f>
        <v>Nm3 H2</v>
      </c>
      <c r="D42" s="16">
        <f>VLOOKUP(Activities!K42,Lookups!$A:$C,2,FALSE)</f>
        <v>0.05</v>
      </c>
      <c r="E42" s="3">
        <f>Activities!M42</f>
        <v>0.98</v>
      </c>
      <c r="F42" s="3" t="str">
        <f>Activities!$I$42</f>
        <v>kg CO2e/Nm3 H2</v>
      </c>
      <c r="G42" s="16">
        <f>VLOOKUP(Activities!L42,Lookups!$E:$G,2,FALSE)</f>
        <v>0.3</v>
      </c>
      <c r="H42" s="3">
        <f t="shared" si="6"/>
        <v>99328264.560000002</v>
      </c>
      <c r="I42" s="3">
        <f t="shared" si="7"/>
        <v>99328.264559999996</v>
      </c>
      <c r="J42" s="3">
        <f t="shared" si="8"/>
        <v>5067768.6000000006</v>
      </c>
      <c r="K42" s="3">
        <f t="shared" si="9"/>
        <v>0.29399999999999998</v>
      </c>
      <c r="L42" s="16">
        <f t="shared" si="10"/>
        <v>0.30413812651491096</v>
      </c>
      <c r="M42" s="3">
        <f t="shared" si="11"/>
        <v>912614632.99637485</v>
      </c>
    </row>
    <row r="43" spans="1:13" x14ac:dyDescent="0.3">
      <c r="A43" s="3" t="str">
        <f>"[Scope " &amp; Activities!$A$43 &amp; "] " &amp; Activities!$B$43 &amp; " | " &amp; Activities!$C$43 &amp; " | " &amp; Activities!$D$43</f>
        <v>[Scope 1] Process Emission | H2 production | H2 production - U_21 production</v>
      </c>
      <c r="B43" s="3">
        <f>Activities!$F$43</f>
        <v>103044628</v>
      </c>
      <c r="C43" s="3" t="str">
        <f>Activities!$G$43</f>
        <v>Nm3 H2</v>
      </c>
      <c r="D43" s="16">
        <f>VLOOKUP(Activities!K43,Lookups!$A:$C,2,FALSE)</f>
        <v>0.05</v>
      </c>
      <c r="E43" s="3">
        <f>Activities!M43</f>
        <v>0.98</v>
      </c>
      <c r="F43" s="3" t="str">
        <f>Activities!$I$43</f>
        <v>kg CO2e/Nm3 H2</v>
      </c>
      <c r="G43" s="16">
        <f>VLOOKUP(Activities!L43,Lookups!$E:$G,2,FALSE)</f>
        <v>0.3</v>
      </c>
      <c r="H43" s="3">
        <f t="shared" si="6"/>
        <v>100983735.44</v>
      </c>
      <c r="I43" s="3">
        <f t="shared" si="7"/>
        <v>100983.73544</v>
      </c>
      <c r="J43" s="3">
        <f t="shared" si="8"/>
        <v>5152231.4000000004</v>
      </c>
      <c r="K43" s="3">
        <f t="shared" si="9"/>
        <v>0.29399999999999998</v>
      </c>
      <c r="L43" s="16">
        <f t="shared" si="10"/>
        <v>0.30413812651491096</v>
      </c>
      <c r="M43" s="3">
        <f t="shared" si="11"/>
        <v>943288621.16597176</v>
      </c>
    </row>
    <row r="44" spans="1:13" x14ac:dyDescent="0.3">
      <c r="A44" s="3" t="str">
        <f>"[Scope " &amp; Activities!$A$44 &amp; "] " &amp; Activities!$B$44 &amp; " | " &amp; Activities!$C$44 &amp; " | " &amp; Activities!$D$44</f>
        <v>[Scope 2] Purchased electricity |  |  - Electricity from Midelec (main supply)</v>
      </c>
      <c r="B44" s="3">
        <f>Activities!$F$44</f>
        <v>357600</v>
      </c>
      <c r="C44" s="3" t="str">
        <f>Activities!$G$44</f>
        <v>MWh</v>
      </c>
      <c r="D44" s="16">
        <f>VLOOKUP(Activities!K44,Lookups!$A:$C,2,FALSE)</f>
        <v>0.05</v>
      </c>
      <c r="E44" s="3">
        <f>Activities!M44/1000</f>
        <v>0.55900000000000005</v>
      </c>
      <c r="F44" s="3" t="str">
        <f>Activities!$I$44</f>
        <v>tCO2e/MWh</v>
      </c>
      <c r="G44" s="16">
        <f>VLOOKUP(Activities!L44,Lookups!$E:$G,2,FALSE)</f>
        <v>0.05</v>
      </c>
      <c r="H44" s="3">
        <f t="shared" si="6"/>
        <v>199898400.00000003</v>
      </c>
      <c r="I44" s="3">
        <f t="shared" si="7"/>
        <v>199898.40000000002</v>
      </c>
      <c r="J44" s="3">
        <f t="shared" si="8"/>
        <v>17880</v>
      </c>
      <c r="K44" s="3">
        <f t="shared" si="9"/>
        <v>2.7950000000000003E-2</v>
      </c>
      <c r="L44" s="16">
        <f t="shared" si="10"/>
        <v>7.0710678118654766E-2</v>
      </c>
      <c r="M44" s="3">
        <f t="shared" si="11"/>
        <v>199796851.61280012</v>
      </c>
    </row>
    <row r="45" spans="1:13" x14ac:dyDescent="0.3">
      <c r="A45" s="3" t="str">
        <f>"[Scope " &amp; Activities!$A$45 &amp; "] " &amp; Activities!$B$45 &amp; " | " &amp; Activities!$C$45 &amp; " | " &amp; Activities!$D$45</f>
        <v xml:space="preserve">[Scope 3] Employee comutee |  | </v>
      </c>
      <c r="B45" s="3">
        <f>Activities!$F$45</f>
        <v>4000</v>
      </c>
      <c r="C45" s="3" t="str">
        <f>Activities!$G$45</f>
        <v>employees</v>
      </c>
      <c r="D45" s="16">
        <f>VLOOKUP(Activities!K45,Lookups!$A:$C,2,FALSE)</f>
        <v>0.05</v>
      </c>
      <c r="E45" s="3">
        <f>Activities!M45/1000</f>
        <v>12</v>
      </c>
      <c r="F45" s="3" t="str">
        <f>Activities!$I$45</f>
        <v>tCO2e/employee/year</v>
      </c>
      <c r="G45" s="16">
        <f>VLOOKUP(Activities!L45,Lookups!$E:$G,2,FALSE)</f>
        <v>0.3</v>
      </c>
      <c r="H45" s="3">
        <f t="shared" si="6"/>
        <v>48000000</v>
      </c>
      <c r="I45" s="3">
        <f t="shared" si="7"/>
        <v>48000</v>
      </c>
      <c r="J45" s="3">
        <f t="shared" si="8"/>
        <v>200</v>
      </c>
      <c r="K45" s="3">
        <f t="shared" si="9"/>
        <v>3.5999999999999996</v>
      </c>
      <c r="L45" s="16">
        <f t="shared" si="10"/>
        <v>0.30413812651491096</v>
      </c>
      <c r="M45" s="3">
        <f t="shared" si="11"/>
        <v>213120000</v>
      </c>
    </row>
    <row r="46" spans="1:13" x14ac:dyDescent="0.3">
      <c r="A46" s="3" t="str">
        <f>"[Scope " &amp; Activities!$A$46 &amp; "] " &amp; Activities!$B$46 &amp; " | " &amp; Activities!$C$46 &amp; " | " &amp; Activities!$D$46</f>
        <v>[Scope 3] Use of Sold Products | Combustion of sold LPG | Combustion of sold LPG</v>
      </c>
      <c r="B46" s="3">
        <f>Activities!$F$46</f>
        <v>219355</v>
      </c>
      <c r="C46" s="3" t="str">
        <f>Activities!$G$46</f>
        <v>tons</v>
      </c>
      <c r="D46" s="16">
        <f>VLOOKUP(Activities!K46,Lookups!$A:$C,2,FALSE)</f>
        <v>0.05</v>
      </c>
      <c r="E46" s="3">
        <f>Activities!M46/1000</f>
        <v>3</v>
      </c>
      <c r="F46" s="3" t="str">
        <f>Activities!$I$46</f>
        <v>tCO2/ton</v>
      </c>
      <c r="G46" s="16">
        <f>VLOOKUP(Activities!L46,Lookups!$E:$G,2,FALSE)</f>
        <v>0.3</v>
      </c>
      <c r="H46" s="3">
        <f t="shared" si="6"/>
        <v>658065000</v>
      </c>
      <c r="I46" s="3">
        <f t="shared" si="7"/>
        <v>658065</v>
      </c>
      <c r="J46" s="3">
        <f t="shared" si="8"/>
        <v>10967.75</v>
      </c>
      <c r="K46" s="3">
        <f t="shared" si="9"/>
        <v>0.89999999999999991</v>
      </c>
      <c r="L46" s="16">
        <f t="shared" si="10"/>
        <v>0.30413812651491096</v>
      </c>
      <c r="M46" s="3">
        <f t="shared" si="11"/>
        <v>40057082840.812492</v>
      </c>
    </row>
    <row r="47" spans="1:13" x14ac:dyDescent="0.3">
      <c r="A47" s="3" t="str">
        <f>"[Scope " &amp; Activities!$A$47 &amp; "] " &amp; Activities!$B$47 &amp; " | " &amp; Activities!$C$47 &amp; " | " &amp; Activities!$D$47</f>
        <v>[Scope 3] Use of Sold Products | Combustion of sold gasoline | Combustion of sold gasoline</v>
      </c>
      <c r="B47" s="3">
        <f>Activities!$F$47</f>
        <v>1502986</v>
      </c>
      <c r="C47" s="3" t="str">
        <f>Activities!$G$47</f>
        <v>tons</v>
      </c>
      <c r="D47" s="16">
        <f>VLOOKUP(Activities!K47,Lookups!$A:$C,2,FALSE)</f>
        <v>0.05</v>
      </c>
      <c r="E47" s="3">
        <f>Activities!M47/1000</f>
        <v>3.15</v>
      </c>
      <c r="F47" s="3" t="str">
        <f>Activities!$I$47</f>
        <v>tCO2/ton</v>
      </c>
      <c r="G47" s="16">
        <f>VLOOKUP(Activities!L47,Lookups!$E:$G,2,FALSE)</f>
        <v>0.3</v>
      </c>
      <c r="H47" s="3">
        <f t="shared" si="6"/>
        <v>4734405899.999999</v>
      </c>
      <c r="I47" s="3">
        <f t="shared" si="7"/>
        <v>4734405.8999999994</v>
      </c>
      <c r="J47" s="3">
        <f t="shared" si="8"/>
        <v>75149.3</v>
      </c>
      <c r="K47" s="3">
        <f t="shared" si="9"/>
        <v>0.94499999999999995</v>
      </c>
      <c r="L47" s="16">
        <f t="shared" si="10"/>
        <v>0.30413812651491096</v>
      </c>
      <c r="M47" s="3">
        <f t="shared" si="11"/>
        <v>2073350428400.8193</v>
      </c>
    </row>
    <row r="48" spans="1:13" x14ac:dyDescent="0.3">
      <c r="A48" s="3" t="str">
        <f>"[Scope " &amp; Activities!$A$48 &amp; "] " &amp; Activities!$B$48 &amp; " | " &amp; Activities!$C$48 &amp; " | " &amp; Activities!$D$48</f>
        <v>[Scope 3] Use of Sold Products | Combustion of sold diesel/gasoil | Combustion of sold diesel/gasoil</v>
      </c>
      <c r="B48" s="3">
        <f>Activities!$F$48</f>
        <v>2388530</v>
      </c>
      <c r="C48" s="3" t="str">
        <f>Activities!$G$48</f>
        <v>tons</v>
      </c>
      <c r="D48" s="16">
        <f>VLOOKUP(Activities!K48,Lookups!$A:$C,2,FALSE)</f>
        <v>0.05</v>
      </c>
      <c r="E48" s="3">
        <f>Activities!M48/1000</f>
        <v>3.17</v>
      </c>
      <c r="F48" s="3" t="str">
        <f>Activities!$I$48</f>
        <v>tCO2/ton</v>
      </c>
      <c r="G48" s="16">
        <f>VLOOKUP(Activities!L48,Lookups!$E:$G,2,FALSE)</f>
        <v>0.3</v>
      </c>
      <c r="H48" s="3">
        <f t="shared" si="6"/>
        <v>7571640100</v>
      </c>
      <c r="I48" s="3">
        <f t="shared" si="7"/>
        <v>7571640.0999999996</v>
      </c>
      <c r="J48" s="3">
        <f t="shared" si="8"/>
        <v>119426.5</v>
      </c>
      <c r="K48" s="3">
        <f t="shared" si="9"/>
        <v>0.95099999999999996</v>
      </c>
      <c r="L48" s="16">
        <f t="shared" si="10"/>
        <v>0.30413812651491096</v>
      </c>
      <c r="M48" s="3">
        <f t="shared" si="11"/>
        <v>5303000376863.3389</v>
      </c>
    </row>
    <row r="49" spans="1:13" x14ac:dyDescent="0.3">
      <c r="A49" s="3" t="str">
        <f>"[Scope " &amp; Activities!$A$49 &amp; "] " &amp; Activities!$B$49 &amp; " | " &amp; Activities!$C$49 &amp; " | " &amp; Activities!$D$49</f>
        <v>[Scope 3] Use of Sold Products | Combustion of sold jet fuel/kerosene | Combustion of sold jet fuel/kerosene</v>
      </c>
      <c r="B49" s="3">
        <f>Activities!$F$49</f>
        <v>649940</v>
      </c>
      <c r="C49" s="3" t="str">
        <f>Activities!$G$49</f>
        <v>tons</v>
      </c>
      <c r="D49" s="16">
        <f>VLOOKUP(Activities!K49,Lookups!$A:$C,2,FALSE)</f>
        <v>0.05</v>
      </c>
      <c r="E49" s="3">
        <f>Activities!M49/1000</f>
        <v>3.15</v>
      </c>
      <c r="F49" s="3" t="str">
        <f>Activities!$I$49</f>
        <v>tCO2/ton</v>
      </c>
      <c r="G49" s="16">
        <f>VLOOKUP(Activities!L49,Lookups!$E:$G,2,FALSE)</f>
        <v>0.3</v>
      </c>
      <c r="H49" s="3">
        <f t="shared" si="6"/>
        <v>2047311000</v>
      </c>
      <c r="I49" s="3">
        <f t="shared" si="7"/>
        <v>2047311</v>
      </c>
      <c r="J49" s="3">
        <f t="shared" si="8"/>
        <v>32497</v>
      </c>
      <c r="K49" s="3">
        <f t="shared" si="9"/>
        <v>0.94499999999999995</v>
      </c>
      <c r="L49" s="16">
        <f t="shared" si="10"/>
        <v>0.30413812651491096</v>
      </c>
      <c r="M49" s="3">
        <f t="shared" si="11"/>
        <v>387712115591.69238</v>
      </c>
    </row>
    <row r="50" spans="1:13" x14ac:dyDescent="0.3">
      <c r="A50" s="3" t="str">
        <f>"[Scope " &amp; Activities!$A$50 &amp; "] " &amp; Activities!$B$50 &amp; " | " &amp; Activities!$C$50 &amp; " | " &amp; Activities!$D$50</f>
        <v>[Scope 3] Use of Sold Products | Combustion of sold fuel oil | Combustion of sold fuel oil</v>
      </c>
      <c r="B50" s="3">
        <f>Activities!$F$50</f>
        <v>233978</v>
      </c>
      <c r="C50" s="3" t="str">
        <f>Activities!$G$50</f>
        <v>tons</v>
      </c>
      <c r="D50" s="16">
        <f>VLOOKUP(Activities!K50,Lookups!$A:$C,2,FALSE)</f>
        <v>0.05</v>
      </c>
      <c r="E50" s="3">
        <f>Activities!M50/1000</f>
        <v>3.11</v>
      </c>
      <c r="F50" s="3" t="str">
        <f>Activities!$I$50</f>
        <v>tCO2/ton</v>
      </c>
      <c r="G50" s="16">
        <f>VLOOKUP(Activities!L50,Lookups!$E:$G,2,FALSE)</f>
        <v>0.3</v>
      </c>
      <c r="H50" s="3">
        <f t="shared" si="6"/>
        <v>727671580</v>
      </c>
      <c r="I50" s="3">
        <f t="shared" si="7"/>
        <v>727671.58</v>
      </c>
      <c r="J50" s="3">
        <f t="shared" si="8"/>
        <v>11698.900000000001</v>
      </c>
      <c r="K50" s="3">
        <f t="shared" si="9"/>
        <v>0.93299999999999994</v>
      </c>
      <c r="L50" s="16">
        <f t="shared" si="10"/>
        <v>0.30413812651491096</v>
      </c>
      <c r="M50" s="3">
        <f t="shared" si="11"/>
        <v>48979298371.421898</v>
      </c>
    </row>
    <row r="51" spans="1:13" x14ac:dyDescent="0.3">
      <c r="A51" s="3" t="str">
        <f>"[Scope " &amp; Activities!$A$51 &amp; "] " &amp; Activities!$B$51 &amp; " | " &amp; Activities!$C$51 &amp; " | " &amp; Activities!$D$51</f>
        <v>[Scope 3] Use of Sold Products | Combustion of sold petroleum coke | Combustion of sold petroleum coke</v>
      </c>
      <c r="B51" s="3">
        <f>Activities!$F$51</f>
        <v>345281</v>
      </c>
      <c r="C51" s="3" t="str">
        <f>Activities!$G$51</f>
        <v>tons</v>
      </c>
      <c r="D51" s="16">
        <f>VLOOKUP(Activities!K51,Lookups!$A:$C,2,FALSE)</f>
        <v>0.3</v>
      </c>
      <c r="E51" s="3">
        <f>Activities!M51/1000</f>
        <v>3.3</v>
      </c>
      <c r="F51" s="3" t="str">
        <f>Activities!$I$51</f>
        <v>tCO2/ton</v>
      </c>
      <c r="G51" s="16">
        <f>VLOOKUP(Activities!L51,Lookups!$E:$G,2,FALSE)</f>
        <v>0.3</v>
      </c>
      <c r="H51" s="3">
        <f t="shared" si="6"/>
        <v>1139427300</v>
      </c>
      <c r="I51" s="3">
        <f t="shared" si="7"/>
        <v>1139427.3</v>
      </c>
      <c r="J51" s="3">
        <f t="shared" si="8"/>
        <v>103584.3</v>
      </c>
      <c r="K51" s="3">
        <f t="shared" si="9"/>
        <v>0.98999999999999988</v>
      </c>
      <c r="L51" s="16">
        <f t="shared" si="10"/>
        <v>0.42426406871192851</v>
      </c>
      <c r="M51" s="3">
        <f t="shared" si="11"/>
        <v>233693022957.3522</v>
      </c>
    </row>
    <row r="54" spans="1:13" ht="15" customHeight="1" thickBot="1" x14ac:dyDescent="0.35"/>
    <row r="55" spans="1:13" x14ac:dyDescent="0.3">
      <c r="I55" s="4" t="s">
        <v>162</v>
      </c>
      <c r="J55" s="17">
        <f>IFERROR(SQRT(SUM(M2:M51))/SUM(I2:I51),0)</f>
        <v>0.14265507401696098</v>
      </c>
      <c r="K55" s="5" t="s">
        <v>163</v>
      </c>
      <c r="L55" s="6">
        <f>$J55*SUM(I2:I51)</f>
        <v>2844504.6723497612</v>
      </c>
    </row>
    <row r="56" spans="1:13" ht="15" customHeight="1" thickBot="1" x14ac:dyDescent="0.35">
      <c r="I56" s="9" t="s">
        <v>164</v>
      </c>
      <c r="J56" s="10">
        <f>SUM(I2:I51)</f>
        <v>19939737.103298295</v>
      </c>
      <c r="K56" s="10"/>
      <c r="L56" s="1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E678F-D571-4F3C-869E-23F7214AF70C}">
  <dimension ref="A1:M48"/>
  <sheetViews>
    <sheetView topLeftCell="A22" workbookViewId="0">
      <selection activeCell="E34" sqref="E34"/>
    </sheetView>
  </sheetViews>
  <sheetFormatPr defaultRowHeight="14.4" x14ac:dyDescent="0.3"/>
  <cols>
    <col min="1" max="1" width="110.33203125" bestFit="1" customWidth="1"/>
    <col min="2" max="2" width="11.33203125" bestFit="1" customWidth="1"/>
    <col min="3" max="3" width="13.77734375" bestFit="1" customWidth="1"/>
    <col min="4" max="4" width="9" bestFit="1" customWidth="1"/>
    <col min="5" max="5" width="13.88671875" bestFit="1" customWidth="1"/>
    <col min="6" max="6" width="19.44140625" bestFit="1" customWidth="1"/>
    <col min="7" max="7" width="8.5546875" bestFit="1" customWidth="1"/>
    <col min="8" max="8" width="14" bestFit="1" customWidth="1"/>
    <col min="9" max="9" width="19.6640625" bestFit="1" customWidth="1"/>
    <col min="10" max="10" width="11.88671875" bestFit="1" customWidth="1"/>
    <col min="11" max="11" width="18.5546875" bestFit="1" customWidth="1"/>
    <col min="12" max="12" width="20.6640625" bestFit="1" customWidth="1"/>
    <col min="13" max="13" width="13.21875" bestFit="1" customWidth="1"/>
  </cols>
  <sheetData>
    <row r="1" spans="1:13" x14ac:dyDescent="0.3">
      <c r="A1" s="3" t="s">
        <v>151</v>
      </c>
      <c r="B1" s="3" t="s">
        <v>152</v>
      </c>
      <c r="C1" s="3" t="s">
        <v>153</v>
      </c>
      <c r="D1" s="3" t="s">
        <v>154</v>
      </c>
      <c r="E1" s="3" t="s">
        <v>7</v>
      </c>
      <c r="F1" s="3" t="s">
        <v>8</v>
      </c>
      <c r="G1" s="3" t="s">
        <v>155</v>
      </c>
      <c r="H1" s="3" t="s">
        <v>156</v>
      </c>
      <c r="I1" s="3" t="s">
        <v>157</v>
      </c>
      <c r="J1" s="3" t="s">
        <v>158</v>
      </c>
      <c r="K1" s="3" t="s">
        <v>159</v>
      </c>
      <c r="L1" s="3" t="s">
        <v>160</v>
      </c>
      <c r="M1" s="3" t="s">
        <v>161</v>
      </c>
    </row>
    <row r="2" spans="1:13" x14ac:dyDescent="0.3">
      <c r="A2" s="3" t="str">
        <f>"[Scope " &amp; Activities!$A$2 &amp; "] " &amp; Activities!$B$2 &amp; " | " &amp; Activities!$C$2 &amp; " | " &amp; Activities!$D$2</f>
        <v>[Scope 1] stationary combusion | Heters/boiler fuel gas firing | Heters/boiler fuel gas firing - U_01 heater fuel firing</v>
      </c>
      <c r="B2" s="3">
        <f>Activities!$F$2</f>
        <v>2687902</v>
      </c>
      <c r="C2" s="3" t="str">
        <f>Activities!$G$2</f>
        <v>GJ</v>
      </c>
      <c r="D2" s="16">
        <f>VLOOKUP(Activities!K2,Lookups!$A:$C,2,FALSE)</f>
        <v>0.05</v>
      </c>
      <c r="E2" s="3">
        <f>Activities!M2</f>
        <v>56.1</v>
      </c>
      <c r="F2" s="3" t="str">
        <f>Activities!$I$2</f>
        <v>kg CO2e/GJ</v>
      </c>
      <c r="G2" s="16">
        <f>VLOOKUP(Activities!L2,Lookups!$E:$G,2,FALSE)</f>
        <v>0.05</v>
      </c>
      <c r="H2" s="3">
        <f t="shared" ref="H2:H43" si="0">IF(ISNUMBER(SEARCH("kg",F2)),B2*E2,B2*E2*1000)</f>
        <v>150791302.20000002</v>
      </c>
      <c r="I2" s="3">
        <f t="shared" ref="I2:I43" si="1">H2/1000</f>
        <v>150791.30220000001</v>
      </c>
      <c r="J2" s="3">
        <f t="shared" ref="J2:J43" si="2">B2*D2</f>
        <v>134395.1</v>
      </c>
      <c r="K2" s="3">
        <f t="shared" ref="K2:K43" si="3">E2*G2</f>
        <v>2.8050000000000002</v>
      </c>
      <c r="L2" s="16">
        <f t="shared" ref="L2:L43" si="4">SQRT(D2^2+G2^2)</f>
        <v>7.0710678118654766E-2</v>
      </c>
      <c r="M2" s="3">
        <f t="shared" ref="M2:M43" si="5">(L2*I2)^2</f>
        <v>113690084.09585866</v>
      </c>
    </row>
    <row r="3" spans="1:13" x14ac:dyDescent="0.3">
      <c r="A3" s="3" t="str">
        <f>"[Scope " &amp; Activities!$A$3 &amp; "] " &amp; Activities!$B$3 &amp; " | " &amp; Activities!$C$3 &amp; " | " &amp; Activities!$D$3</f>
        <v>[Scope 1] stationary combusion | Heters/boiler fuel gas firing | Heters/boiler fuel gas firing - U_17 heater fuel firing</v>
      </c>
      <c r="B3" s="3">
        <f>Activities!$F$3</f>
        <v>2741660</v>
      </c>
      <c r="C3" s="3" t="str">
        <f>Activities!$G$3</f>
        <v>GJ</v>
      </c>
      <c r="D3" s="16">
        <f>VLOOKUP(Activities!K3,Lookups!$A:$C,2,FALSE)</f>
        <v>0.05</v>
      </c>
      <c r="E3" s="3">
        <f>Activities!M3</f>
        <v>56.1</v>
      </c>
      <c r="F3" s="3" t="str">
        <f>Activities!$I$3</f>
        <v>kg CO2e/GJ</v>
      </c>
      <c r="G3" s="16">
        <f>VLOOKUP(Activities!L3,Lookups!$E:$G,2,FALSE)</f>
        <v>0.05</v>
      </c>
      <c r="H3" s="3">
        <f t="shared" si="0"/>
        <v>153807126</v>
      </c>
      <c r="I3" s="3">
        <f t="shared" si="1"/>
        <v>153807.12599999999</v>
      </c>
      <c r="J3" s="3">
        <f t="shared" si="2"/>
        <v>137083</v>
      </c>
      <c r="K3" s="3">
        <f t="shared" si="3"/>
        <v>2.8050000000000002</v>
      </c>
      <c r="L3" s="16">
        <f t="shared" si="4"/>
        <v>7.0710678118654766E-2</v>
      </c>
      <c r="M3" s="3">
        <f t="shared" si="5"/>
        <v>118283160.0418994</v>
      </c>
    </row>
    <row r="4" spans="1:13" x14ac:dyDescent="0.3">
      <c r="A4" s="3" t="str">
        <f>"[Scope " &amp; Activities!$A$4 &amp; "] " &amp; Activities!$B$4 &amp; " | " &amp; Activities!$C$4 &amp; " | " &amp; Activities!$D$4</f>
        <v>[Scope 1] stationary combusion | Heters/boiler fuel gas firing | Heters/boiler fuel gas firing - U02/03 heter firing</v>
      </c>
      <c r="B4" s="3">
        <f>Activities!$F$4</f>
        <v>2795418</v>
      </c>
      <c r="C4" s="3" t="str">
        <f>Activities!$G$4</f>
        <v>GJ</v>
      </c>
      <c r="D4" s="16">
        <f>VLOOKUP(Activities!K4,Lookups!$A:$C,2,FALSE)</f>
        <v>0.05</v>
      </c>
      <c r="E4" s="3">
        <f>Activities!M4</f>
        <v>56.1</v>
      </c>
      <c r="F4" s="3" t="str">
        <f>Activities!$I$4</f>
        <v>kg CO2e/GJ</v>
      </c>
      <c r="G4" s="16">
        <f>VLOOKUP(Activities!L4,Lookups!$E:$G,2,FALSE)</f>
        <v>0.05</v>
      </c>
      <c r="H4" s="3">
        <f t="shared" si="0"/>
        <v>156822949.80000001</v>
      </c>
      <c r="I4" s="3">
        <f t="shared" si="1"/>
        <v>156822.9498</v>
      </c>
      <c r="J4" s="3">
        <f t="shared" si="2"/>
        <v>139770.9</v>
      </c>
      <c r="K4" s="3">
        <f t="shared" si="3"/>
        <v>2.8050000000000002</v>
      </c>
      <c r="L4" s="16">
        <f t="shared" si="4"/>
        <v>7.0710678118654766E-2</v>
      </c>
      <c r="M4" s="3">
        <f t="shared" si="5"/>
        <v>122967187.91986667</v>
      </c>
    </row>
    <row r="5" spans="1:13" x14ac:dyDescent="0.3">
      <c r="A5" s="3" t="str">
        <f>"[Scope " &amp; Activities!$A$5 &amp; "] " &amp; Activities!$B$5 &amp; " | " &amp; Activities!$C$5 &amp; " | " &amp; Activities!$D$5</f>
        <v>[Scope 1] stationary combusion | Heters/boiler fuel gas firing | Heters/boiler fuel gas firing - U_04 heater firing</v>
      </c>
      <c r="B5" s="3">
        <f>Activities!$F$5</f>
        <v>2849176</v>
      </c>
      <c r="C5" s="3" t="str">
        <f>Activities!$G$5</f>
        <v>GJ</v>
      </c>
      <c r="D5" s="16">
        <f>VLOOKUP(Activities!K5,Lookups!$A:$C,2,FALSE)</f>
        <v>0.05</v>
      </c>
      <c r="E5" s="3">
        <f>Activities!M5</f>
        <v>56.1</v>
      </c>
      <c r="F5" s="3" t="str">
        <f>Activities!$I$5</f>
        <v>kg CO2e/GJ</v>
      </c>
      <c r="G5" s="16">
        <f>VLOOKUP(Activities!L5,Lookups!$E:$G,2,FALSE)</f>
        <v>0.05</v>
      </c>
      <c r="H5" s="3">
        <f t="shared" si="0"/>
        <v>159838773.59999999</v>
      </c>
      <c r="I5" s="3">
        <f t="shared" si="1"/>
        <v>159838.77359999999</v>
      </c>
      <c r="J5" s="3">
        <f t="shared" si="2"/>
        <v>142458.80000000002</v>
      </c>
      <c r="K5" s="3">
        <f t="shared" si="3"/>
        <v>2.8050000000000002</v>
      </c>
      <c r="L5" s="16">
        <f t="shared" si="4"/>
        <v>7.0710678118654766E-2</v>
      </c>
      <c r="M5" s="3">
        <f t="shared" si="5"/>
        <v>127742167.72976032</v>
      </c>
    </row>
    <row r="6" spans="1:13" x14ac:dyDescent="0.3">
      <c r="A6" s="3" t="str">
        <f>"[Scope " &amp; Activities!$A$6 &amp; "] " &amp; Activities!$B$6 &amp; " | " &amp; Activities!$C$6 &amp; " | " &amp; Activities!$D$6</f>
        <v>[Scope 1] stationary combusion | Heters/boiler fuel gas firing | Heters/boiler fuel gas firing - U_07 heter firing</v>
      </c>
      <c r="B6" s="3">
        <f>Activities!$F$6</f>
        <v>2902934</v>
      </c>
      <c r="C6" s="3" t="str">
        <f>Activities!$G$6</f>
        <v>GJ</v>
      </c>
      <c r="D6" s="16">
        <f>VLOOKUP(Activities!K6,Lookups!$A:$C,2,FALSE)</f>
        <v>0.05</v>
      </c>
      <c r="E6" s="3">
        <f>Activities!M6</f>
        <v>56.1</v>
      </c>
      <c r="F6" s="3" t="str">
        <f>Activities!$I$6</f>
        <v>kg CO2e/GJ</v>
      </c>
      <c r="G6" s="16">
        <f>VLOOKUP(Activities!L6,Lookups!$E:$G,2,FALSE)</f>
        <v>0.05</v>
      </c>
      <c r="H6" s="3">
        <f t="shared" si="0"/>
        <v>162854597.40000001</v>
      </c>
      <c r="I6" s="3">
        <f t="shared" si="1"/>
        <v>162854.5974</v>
      </c>
      <c r="J6" s="3">
        <f t="shared" si="2"/>
        <v>145146.70000000001</v>
      </c>
      <c r="K6" s="3">
        <f t="shared" si="3"/>
        <v>2.8050000000000002</v>
      </c>
      <c r="L6" s="16">
        <f t="shared" si="4"/>
        <v>7.0710678118654766E-2</v>
      </c>
      <c r="M6" s="3">
        <f t="shared" si="5"/>
        <v>132608099.47158048</v>
      </c>
    </row>
    <row r="7" spans="1:13" x14ac:dyDescent="0.3">
      <c r="A7" s="3" t="str">
        <f>"[Scope " &amp; Activities!$A$7 &amp; "] " &amp; Activities!$B$7 &amp; " | " &amp; Activities!$C$7 &amp; " | " &amp; Activities!$D$7</f>
        <v>[Scope 1] stationary combusion | Heters/boiler fuel gas firing | Heters/boiler fuel gas firing - U_08 heater firing</v>
      </c>
      <c r="B7" s="3">
        <f>Activities!$F$7</f>
        <v>2956692</v>
      </c>
      <c r="C7" s="3" t="str">
        <f>Activities!$G$7</f>
        <v>GJ</v>
      </c>
      <c r="D7" s="16">
        <f>VLOOKUP(Activities!K7,Lookups!$A:$C,2,FALSE)</f>
        <v>0.05</v>
      </c>
      <c r="E7" s="3">
        <f>Activities!M7</f>
        <v>56.1</v>
      </c>
      <c r="F7" s="3" t="str">
        <f>Activities!$I$7</f>
        <v>kg CO2e/GJ</v>
      </c>
      <c r="G7" s="16">
        <f>VLOOKUP(Activities!L7,Lookups!$E:$G,2,FALSE)</f>
        <v>0.05</v>
      </c>
      <c r="H7" s="3">
        <f t="shared" si="0"/>
        <v>165870421.20000002</v>
      </c>
      <c r="I7" s="3">
        <f t="shared" si="1"/>
        <v>165870.42120000001</v>
      </c>
      <c r="J7" s="3">
        <f t="shared" si="2"/>
        <v>147834.6</v>
      </c>
      <c r="K7" s="3">
        <f t="shared" si="3"/>
        <v>2.8050000000000002</v>
      </c>
      <c r="L7" s="16">
        <f t="shared" si="4"/>
        <v>7.0710678118654766E-2</v>
      </c>
      <c r="M7" s="3">
        <f t="shared" si="5"/>
        <v>137564983.14532709</v>
      </c>
    </row>
    <row r="8" spans="1:13" x14ac:dyDescent="0.3">
      <c r="A8" s="3" t="str">
        <f>"[Scope " &amp; Activities!$A$8 &amp; "] " &amp; Activities!$B$8 &amp; " | " &amp; Activities!$C$8 &amp; " | " &amp; Activities!$D$8</f>
        <v>[Scope 1] stationary combusion | Heters/boiler fuel gas firing | Heters/boiler fuel gas firing - U_09 heater firing</v>
      </c>
      <c r="B8" s="3">
        <f>Activities!$F$8</f>
        <v>3010450</v>
      </c>
      <c r="C8" s="3" t="str">
        <f>Activities!$G$8</f>
        <v>GJ</v>
      </c>
      <c r="D8" s="16">
        <f>VLOOKUP(Activities!K8,Lookups!$A:$C,2,FALSE)</f>
        <v>0.05</v>
      </c>
      <c r="E8" s="3">
        <f>Activities!M8</f>
        <v>56.1</v>
      </c>
      <c r="F8" s="3" t="str">
        <f>Activities!$I$8</f>
        <v>kg CO2e/GJ</v>
      </c>
      <c r="G8" s="16">
        <f>VLOOKUP(Activities!L8,Lookups!$E:$G,2,FALSE)</f>
        <v>0.05</v>
      </c>
      <c r="H8" s="3">
        <f t="shared" si="0"/>
        <v>168886245</v>
      </c>
      <c r="I8" s="3">
        <f t="shared" si="1"/>
        <v>168886.245</v>
      </c>
      <c r="J8" s="3">
        <f t="shared" si="2"/>
        <v>150522.5</v>
      </c>
      <c r="K8" s="3">
        <f t="shared" si="3"/>
        <v>2.8050000000000002</v>
      </c>
      <c r="L8" s="16">
        <f t="shared" si="4"/>
        <v>7.0710678118654766E-2</v>
      </c>
      <c r="M8" s="3">
        <f t="shared" si="5"/>
        <v>142612818.7510002</v>
      </c>
    </row>
    <row r="9" spans="1:13" x14ac:dyDescent="0.3">
      <c r="A9" s="3" t="str">
        <f>"[Scope " &amp; Activities!$A$9 &amp; "] " &amp; Activities!$B$9 &amp; " | " &amp; Activities!$C$9 &amp; " | " &amp; Activities!$D$9</f>
        <v>[Scope 1] stationary combusion | Heters/boiler fuel gas firing | Heters/boiler fuel gas firing - U_11 heater firing</v>
      </c>
      <c r="B9" s="3">
        <f>Activities!$F$9</f>
        <v>3064208</v>
      </c>
      <c r="C9" s="3" t="str">
        <f>Activities!$G$9</f>
        <v>GJ</v>
      </c>
      <c r="D9" s="16">
        <f>VLOOKUP(Activities!K9,Lookups!$A:$C,2,FALSE)</f>
        <v>0.05</v>
      </c>
      <c r="E9" s="3">
        <f>Activities!M9</f>
        <v>56.1</v>
      </c>
      <c r="F9" s="3" t="str">
        <f>Activities!$I$9</f>
        <v>kg CO2e/GJ</v>
      </c>
      <c r="G9" s="16">
        <f>VLOOKUP(Activities!L9,Lookups!$E:$G,2,FALSE)</f>
        <v>0.05</v>
      </c>
      <c r="H9" s="3">
        <f t="shared" si="0"/>
        <v>171902068.80000001</v>
      </c>
      <c r="I9" s="3">
        <f t="shared" si="1"/>
        <v>171902.06880000001</v>
      </c>
      <c r="J9" s="3">
        <f t="shared" si="2"/>
        <v>153210.4</v>
      </c>
      <c r="K9" s="3">
        <f t="shared" si="3"/>
        <v>2.8050000000000002</v>
      </c>
      <c r="L9" s="16">
        <f t="shared" si="4"/>
        <v>7.0710678118654766E-2</v>
      </c>
      <c r="M9" s="3">
        <f t="shared" si="5"/>
        <v>147751606.28859973</v>
      </c>
    </row>
    <row r="10" spans="1:13" x14ac:dyDescent="0.3">
      <c r="A10" s="3" t="str">
        <f>"[Scope " &amp; Activities!$A$10 &amp; "] " &amp; Activities!$B$10 &amp; " | " &amp; Activities!$C$10 &amp; " | " &amp; Activities!$D$10</f>
        <v>[Scope 1] stationary combusion | Heters/boiler fuel gas firing | Heters/boiler fuel gas firing - U_11_cell3 heater firing</v>
      </c>
      <c r="B10" s="3">
        <f>Activities!$F$10</f>
        <v>3117966</v>
      </c>
      <c r="C10" s="3" t="str">
        <f>Activities!$G$10</f>
        <v>GJ</v>
      </c>
      <c r="D10" s="16">
        <f>VLOOKUP(Activities!K10,Lookups!$A:$C,2,FALSE)</f>
        <v>0.05</v>
      </c>
      <c r="E10" s="3">
        <f>Activities!M10</f>
        <v>56.1</v>
      </c>
      <c r="F10" s="3" t="str">
        <f>Activities!$I$10</f>
        <v>kg CO2e/GJ</v>
      </c>
      <c r="G10" s="16">
        <f>VLOOKUP(Activities!L10,Lookups!$E:$G,2,FALSE)</f>
        <v>0.05</v>
      </c>
      <c r="H10" s="3">
        <f t="shared" si="0"/>
        <v>174917892.59999999</v>
      </c>
      <c r="I10" s="3">
        <f t="shared" si="1"/>
        <v>174917.89259999999</v>
      </c>
      <c r="J10" s="3">
        <f t="shared" si="2"/>
        <v>155898.30000000002</v>
      </c>
      <c r="K10" s="3">
        <f t="shared" si="3"/>
        <v>2.8050000000000002</v>
      </c>
      <c r="L10" s="16">
        <f t="shared" si="4"/>
        <v>7.0710678118654766E-2</v>
      </c>
      <c r="M10" s="3">
        <f t="shared" si="5"/>
        <v>152981345.75812572</v>
      </c>
    </row>
    <row r="11" spans="1:13" x14ac:dyDescent="0.3">
      <c r="A11" s="3" t="str">
        <f>"[Scope " &amp; Activities!$A$11 &amp; "] " &amp; Activities!$B$11 &amp; " | " &amp; Activities!$C$11 &amp; " | " &amp; Activities!$D$11</f>
        <v>[Scope 1] stationary combusion | Heters/boiler fuel gas firing | Heters/boiler fuel gas firing - U_18 heater firing</v>
      </c>
      <c r="B11" s="3">
        <f>Activities!$F$11</f>
        <v>3171724</v>
      </c>
      <c r="C11" s="3" t="str">
        <f>Activities!$G$11</f>
        <v>GJ</v>
      </c>
      <c r="D11" s="16">
        <f>VLOOKUP(Activities!K11,Lookups!$A:$C,2,FALSE)</f>
        <v>0.05</v>
      </c>
      <c r="E11" s="3">
        <f>Activities!M11</f>
        <v>56.1</v>
      </c>
      <c r="F11" s="3" t="str">
        <f>Activities!$I$11</f>
        <v>kg CO2e/GJ</v>
      </c>
      <c r="G11" s="16">
        <f>VLOOKUP(Activities!L11,Lookups!$E:$G,2,FALSE)</f>
        <v>0.05</v>
      </c>
      <c r="H11" s="3">
        <f t="shared" si="0"/>
        <v>177933716.40000001</v>
      </c>
      <c r="I11" s="3">
        <f t="shared" si="1"/>
        <v>177933.7164</v>
      </c>
      <c r="J11" s="3">
        <f t="shared" si="2"/>
        <v>158586.20000000001</v>
      </c>
      <c r="K11" s="3">
        <f t="shared" si="3"/>
        <v>2.8050000000000002</v>
      </c>
      <c r="L11" s="16">
        <f t="shared" si="4"/>
        <v>7.0710678118654766E-2</v>
      </c>
      <c r="M11" s="3">
        <f t="shared" si="5"/>
        <v>158302037.1595782</v>
      </c>
    </row>
    <row r="12" spans="1:13" x14ac:dyDescent="0.3">
      <c r="A12" s="3" t="str">
        <f>"[Scope " &amp; Activities!$A$12 &amp; "] " &amp; Activities!$B$12 &amp; " | " &amp; Activities!$C$12 &amp; " | " &amp; Activities!$D$12</f>
        <v>[Scope 1] stationary combusion | Heters/boiler fuel gas firing | Heters/boiler fuel gas firing - U_19 heater firing</v>
      </c>
      <c r="B12" s="3">
        <f>Activities!$F$12</f>
        <v>3225482</v>
      </c>
      <c r="C12" s="3" t="str">
        <f>Activities!$G$12</f>
        <v>GJ</v>
      </c>
      <c r="D12" s="16">
        <f>VLOOKUP(Activities!K12,Lookups!$A:$C,2,FALSE)</f>
        <v>0.05</v>
      </c>
      <c r="E12" s="3">
        <f>Activities!M12</f>
        <v>56.1</v>
      </c>
      <c r="F12" s="3" t="str">
        <f>Activities!$I$12</f>
        <v>kg CO2e/GJ</v>
      </c>
      <c r="G12" s="16">
        <f>VLOOKUP(Activities!L12,Lookups!$E:$G,2,FALSE)</f>
        <v>0.05</v>
      </c>
      <c r="H12" s="3">
        <f t="shared" si="0"/>
        <v>180949540.20000002</v>
      </c>
      <c r="I12" s="3">
        <f t="shared" si="1"/>
        <v>180949.54020000002</v>
      </c>
      <c r="J12" s="3">
        <f t="shared" si="2"/>
        <v>161274.1</v>
      </c>
      <c r="K12" s="3">
        <f t="shared" si="3"/>
        <v>2.8050000000000002</v>
      </c>
      <c r="L12" s="16">
        <f t="shared" si="4"/>
        <v>7.0710678118654766E-2</v>
      </c>
      <c r="M12" s="3">
        <f t="shared" si="5"/>
        <v>163713680.49295717</v>
      </c>
    </row>
    <row r="13" spans="1:13" x14ac:dyDescent="0.3">
      <c r="A13" s="3" t="str">
        <f>"[Scope " &amp; Activities!$A$13 &amp; "] " &amp; Activities!$B$13 &amp; " | " &amp; Activities!$C$13 &amp; " | " &amp; Activities!$D$13</f>
        <v>[Scope 1] stationary combusion | Heters/boiler fuel gas firing | Heters/boiler fuel gas firing - U_20 heater firing</v>
      </c>
      <c r="B13" s="3">
        <f>Activities!$F$13</f>
        <v>3279240</v>
      </c>
      <c r="C13" s="3" t="str">
        <f>Activities!$G$13</f>
        <v>GJ</v>
      </c>
      <c r="D13" s="16">
        <f>VLOOKUP(Activities!K13,Lookups!$A:$C,2,FALSE)</f>
        <v>0.05</v>
      </c>
      <c r="E13" s="3">
        <f>Activities!M13</f>
        <v>56.1</v>
      </c>
      <c r="F13" s="3" t="str">
        <f>Activities!$I$13</f>
        <v>kg CO2e/GJ</v>
      </c>
      <c r="G13" s="16">
        <f>VLOOKUP(Activities!L13,Lookups!$E:$G,2,FALSE)</f>
        <v>0.05</v>
      </c>
      <c r="H13" s="3">
        <f t="shared" si="0"/>
        <v>183965364</v>
      </c>
      <c r="I13" s="3">
        <f t="shared" si="1"/>
        <v>183965.364</v>
      </c>
      <c r="J13" s="3">
        <f t="shared" si="2"/>
        <v>163962</v>
      </c>
      <c r="K13" s="3">
        <f t="shared" si="3"/>
        <v>2.8050000000000002</v>
      </c>
      <c r="L13" s="16">
        <f t="shared" si="4"/>
        <v>7.0710678118654766E-2</v>
      </c>
      <c r="M13" s="3">
        <f t="shared" si="5"/>
        <v>169216275.75826254</v>
      </c>
    </row>
    <row r="14" spans="1:13" x14ac:dyDescent="0.3">
      <c r="A14" s="3" t="str">
        <f>"[Scope " &amp; Activities!$A$14 &amp; "] " &amp; Activities!$B$14 &amp; " | " &amp; Activities!$C$14 &amp; " | " &amp; Activities!$D$14</f>
        <v>[Scope 1] stationary combusion | Heters/boiler fuel gas firing | Heters/boiler fuel gas firing - U_21 heater firing</v>
      </c>
      <c r="B14" s="3">
        <f>Activities!$F$14</f>
        <v>3332998</v>
      </c>
      <c r="C14" s="3" t="str">
        <f>Activities!$G$14</f>
        <v>GJ</v>
      </c>
      <c r="D14" s="16">
        <f>VLOOKUP(Activities!K14,Lookups!$A:$C,2,FALSE)</f>
        <v>0.05</v>
      </c>
      <c r="E14" s="3">
        <f>Activities!M14</f>
        <v>56.1</v>
      </c>
      <c r="F14" s="3" t="str">
        <f>Activities!$I$14</f>
        <v>kg CO2e/GJ</v>
      </c>
      <c r="G14" s="16">
        <f>VLOOKUP(Activities!L14,Lookups!$E:$G,2,FALSE)</f>
        <v>0.05</v>
      </c>
      <c r="H14" s="3">
        <f t="shared" si="0"/>
        <v>186981187.80000001</v>
      </c>
      <c r="I14" s="3">
        <f t="shared" si="1"/>
        <v>186981.18780000001</v>
      </c>
      <c r="J14" s="3">
        <f t="shared" si="2"/>
        <v>166649.90000000002</v>
      </c>
      <c r="K14" s="3">
        <f t="shared" si="3"/>
        <v>2.8050000000000002</v>
      </c>
      <c r="L14" s="16">
        <f t="shared" si="4"/>
        <v>7.0710678118654766E-2</v>
      </c>
      <c r="M14" s="3">
        <f t="shared" si="5"/>
        <v>174809822.95549443</v>
      </c>
    </row>
    <row r="15" spans="1:13" x14ac:dyDescent="0.3">
      <c r="A15" s="3" t="str">
        <f>"[Scope " &amp; Activities!$A$15 &amp; "] " &amp; Activities!$B$15 &amp; " | " &amp; Activities!$C$15 &amp; " | " &amp; Activities!$D$15</f>
        <v>[Scope 1] stationary combusion | Heters/boiler fuel gas firing | Heters/boiler fuel gas firing - U_37 boilers firing</v>
      </c>
      <c r="B15" s="3">
        <f>Activities!$F$15</f>
        <v>3386756</v>
      </c>
      <c r="C15" s="3" t="str">
        <f>Activities!$G$15</f>
        <v>GJ</v>
      </c>
      <c r="D15" s="16">
        <f>VLOOKUP(Activities!K15,Lookups!$A:$C,2,FALSE)</f>
        <v>0.05</v>
      </c>
      <c r="E15" s="3">
        <f>Activities!M15</f>
        <v>56.1</v>
      </c>
      <c r="F15" s="3" t="str">
        <f>Activities!$I$15</f>
        <v>kg CO2e/GJ</v>
      </c>
      <c r="G15" s="16">
        <f>VLOOKUP(Activities!L15,Lookups!$E:$G,2,FALSE)</f>
        <v>0.05</v>
      </c>
      <c r="H15" s="3">
        <f t="shared" si="0"/>
        <v>189997011.59999999</v>
      </c>
      <c r="I15" s="3">
        <f t="shared" si="1"/>
        <v>189997.0116</v>
      </c>
      <c r="J15" s="3">
        <f t="shared" si="2"/>
        <v>169337.80000000002</v>
      </c>
      <c r="K15" s="3">
        <f t="shared" si="3"/>
        <v>2.8050000000000002</v>
      </c>
      <c r="L15" s="16">
        <f t="shared" si="4"/>
        <v>7.0710678118654766E-2</v>
      </c>
      <c r="M15" s="3">
        <f t="shared" si="5"/>
        <v>180494322.08465272</v>
      </c>
    </row>
    <row r="16" spans="1:13" x14ac:dyDescent="0.3">
      <c r="A16" s="3" t="str">
        <f>"[Scope " &amp; Activities!$A$16 &amp; "] " &amp; Activities!$B$16 &amp; " | " &amp; Activities!$C$16 &amp; " | " &amp; Activities!$D$16</f>
        <v>[Scope 1] stationary combusion | Incenerator firing | Incenerator firing - U_13 firing</v>
      </c>
      <c r="B16" s="3">
        <f>Activities!$F$16</f>
        <v>1720257</v>
      </c>
      <c r="C16" s="3" t="str">
        <f>Activities!$G$16</f>
        <v>GJ</v>
      </c>
      <c r="D16" s="16">
        <f>VLOOKUP(Activities!K16,Lookups!$A:$C,2,FALSE)</f>
        <v>0.05</v>
      </c>
      <c r="E16" s="3">
        <f>Activities!M16</f>
        <v>58</v>
      </c>
      <c r="F16" s="3" t="str">
        <f>Activities!$I$16</f>
        <v>kg CO2e/GJ</v>
      </c>
      <c r="G16" s="16">
        <f>VLOOKUP(Activities!L16,Lookups!$E:$G,2,FALSE)</f>
        <v>0.05</v>
      </c>
      <c r="H16" s="3">
        <f t="shared" si="0"/>
        <v>99774906</v>
      </c>
      <c r="I16" s="3">
        <f t="shared" si="1"/>
        <v>99774.906000000003</v>
      </c>
      <c r="J16" s="3">
        <f t="shared" si="2"/>
        <v>86012.85</v>
      </c>
      <c r="K16" s="3">
        <f t="shared" si="3"/>
        <v>2.9000000000000004</v>
      </c>
      <c r="L16" s="16">
        <f t="shared" si="4"/>
        <v>7.0710678118654766E-2</v>
      </c>
      <c r="M16" s="3">
        <f t="shared" si="5"/>
        <v>49775159.336544208</v>
      </c>
    </row>
    <row r="17" spans="1:13" x14ac:dyDescent="0.3">
      <c r="A17" s="3" t="str">
        <f>"[Scope " &amp; Activities!$A$17 &amp; "] " &amp; Activities!$B$17 &amp; " | " &amp; Activities!$C$17 &amp; " | " &amp; Activities!$D$17</f>
        <v>[Scope 1] stationary combusion | Incenerator firing | Incenerator firing - U_22 firing</v>
      </c>
      <c r="B17" s="3">
        <f>Activities!$F$17</f>
        <v>1747136</v>
      </c>
      <c r="C17" s="3" t="str">
        <f>Activities!$G$17</f>
        <v>GJ</v>
      </c>
      <c r="D17" s="16">
        <f>VLOOKUP(Activities!K17,Lookups!$A:$C,2,FALSE)</f>
        <v>0.05</v>
      </c>
      <c r="E17" s="3">
        <f>Activities!M17</f>
        <v>58</v>
      </c>
      <c r="F17" s="3" t="str">
        <f>Activities!$I$17</f>
        <v>kg CO2e/GJ</v>
      </c>
      <c r="G17" s="16">
        <f>VLOOKUP(Activities!L17,Lookups!$E:$G,2,FALSE)</f>
        <v>0.05</v>
      </c>
      <c r="H17" s="3">
        <f t="shared" si="0"/>
        <v>101333888</v>
      </c>
      <c r="I17" s="3">
        <f t="shared" si="1"/>
        <v>101333.88800000001</v>
      </c>
      <c r="J17" s="3">
        <f t="shared" si="2"/>
        <v>87356.800000000003</v>
      </c>
      <c r="K17" s="3">
        <f t="shared" si="3"/>
        <v>2.9000000000000004</v>
      </c>
      <c r="L17" s="16">
        <f t="shared" si="4"/>
        <v>7.0710678118654766E-2</v>
      </c>
      <c r="M17" s="3">
        <f t="shared" si="5"/>
        <v>51342784.28598275</v>
      </c>
    </row>
    <row r="18" spans="1:13" x14ac:dyDescent="0.3">
      <c r="A18" s="3" t="str">
        <f>"[Scope " &amp; Activities!$A$18 &amp; "] " &amp; Activities!$B$18 &amp; " | " &amp; Activities!$C$18 &amp; " | " &amp; Activities!$D$18</f>
        <v>[Scope 1] stationary combusion | Fuel oil firing | Fuel oil firing</v>
      </c>
      <c r="B18" s="3">
        <f>Activities!$F$18</f>
        <v>15000</v>
      </c>
      <c r="C18" s="3" t="str">
        <f>Activities!$G$18</f>
        <v>GJ</v>
      </c>
      <c r="D18" s="16">
        <f>VLOOKUP(Activities!K18,Lookups!$A:$C,2,FALSE)</f>
        <v>0.05</v>
      </c>
      <c r="E18" s="3">
        <f>Activities!M18</f>
        <v>77.400000000000006</v>
      </c>
      <c r="F18" s="3" t="str">
        <f>Activities!$I$18</f>
        <v>kg CO2e/GJ</v>
      </c>
      <c r="G18" s="16">
        <f>VLOOKUP(Activities!L18,Lookups!$E:$G,2,FALSE)</f>
        <v>0.05</v>
      </c>
      <c r="H18" s="3">
        <f t="shared" si="0"/>
        <v>1161000</v>
      </c>
      <c r="I18" s="3">
        <f t="shared" si="1"/>
        <v>1161</v>
      </c>
      <c r="J18" s="3">
        <f t="shared" si="2"/>
        <v>750</v>
      </c>
      <c r="K18" s="3">
        <f t="shared" si="3"/>
        <v>3.8700000000000006</v>
      </c>
      <c r="L18" s="16">
        <f t="shared" si="4"/>
        <v>7.0710678118654766E-2</v>
      </c>
      <c r="M18" s="3">
        <f t="shared" si="5"/>
        <v>6739.6050000000023</v>
      </c>
    </row>
    <row r="19" spans="1:13" x14ac:dyDescent="0.3">
      <c r="A19" s="3" t="str">
        <f>"[Scope " &amp; Activities!$A$19 &amp; "] " &amp; Activities!$B$19 &amp; " | " &amp; Activities!$C$19 &amp; " | " &amp; Activities!$D$19</f>
        <v>[Scope 1] stationary combusion | Diesel firing | Diesel firing - Electric substations</v>
      </c>
      <c r="B19" s="3">
        <f>Activities!$F$19</f>
        <v>10000</v>
      </c>
      <c r="C19" s="3" t="str">
        <f>Activities!$G$19</f>
        <v>L</v>
      </c>
      <c r="D19" s="16">
        <f>VLOOKUP(Activities!K19,Lookups!$A:$C,2,FALSE)</f>
        <v>0.05</v>
      </c>
      <c r="E19" s="3">
        <f>Activities!M19</f>
        <v>2.68</v>
      </c>
      <c r="F19" s="3" t="str">
        <f>Activities!$I$19</f>
        <v>kg CO2e/L</v>
      </c>
      <c r="G19" s="16">
        <f>VLOOKUP(Activities!L19,Lookups!$E:$G,2,FALSE)</f>
        <v>0.3</v>
      </c>
      <c r="H19" s="3">
        <f t="shared" si="0"/>
        <v>26800</v>
      </c>
      <c r="I19" s="3">
        <f t="shared" si="1"/>
        <v>26.8</v>
      </c>
      <c r="J19" s="3">
        <f t="shared" si="2"/>
        <v>500</v>
      </c>
      <c r="K19" s="3">
        <f t="shared" si="3"/>
        <v>0.80400000000000005</v>
      </c>
      <c r="L19" s="16">
        <f t="shared" si="4"/>
        <v>0.30413812651491096</v>
      </c>
      <c r="M19" s="3">
        <f t="shared" si="5"/>
        <v>66.43719999999999</v>
      </c>
    </row>
    <row r="20" spans="1:13" x14ac:dyDescent="0.3">
      <c r="A20" s="3" t="str">
        <f>"[Scope " &amp; Activities!$A$20 &amp; "] " &amp; Activities!$B$20 &amp; " | " &amp; Activities!$C$20 &amp; " | " &amp; Activities!$D$20</f>
        <v>[Scope 1] stationary combusion | Diesel firing | Diesel firing - Disel Fire pumps</v>
      </c>
      <c r="B20" s="3">
        <f>Activities!$F$20</f>
        <v>6000</v>
      </c>
      <c r="C20" s="3" t="str">
        <f>Activities!$G$20</f>
        <v>L</v>
      </c>
      <c r="D20" s="16">
        <f>VLOOKUP(Activities!K20,Lookups!$A:$C,2,FALSE)</f>
        <v>0.05</v>
      </c>
      <c r="E20" s="3">
        <f>Activities!M20</f>
        <v>2.68</v>
      </c>
      <c r="F20" s="3" t="str">
        <f>Activities!$I$20</f>
        <v>kg CO2e/L</v>
      </c>
      <c r="G20" s="16">
        <f>VLOOKUP(Activities!L20,Lookups!$E:$G,2,FALSE)</f>
        <v>0.3</v>
      </c>
      <c r="H20" s="3">
        <f t="shared" si="0"/>
        <v>16080.000000000002</v>
      </c>
      <c r="I20" s="3">
        <f t="shared" si="1"/>
        <v>16.080000000000002</v>
      </c>
      <c r="J20" s="3">
        <f t="shared" si="2"/>
        <v>300</v>
      </c>
      <c r="K20" s="3">
        <f t="shared" si="3"/>
        <v>0.80400000000000005</v>
      </c>
      <c r="L20" s="16">
        <f t="shared" si="4"/>
        <v>0.30413812651491096</v>
      </c>
      <c r="M20" s="3">
        <f t="shared" si="5"/>
        <v>23.917392000000003</v>
      </c>
    </row>
    <row r="21" spans="1:13" x14ac:dyDescent="0.3">
      <c r="A21" s="3" t="str">
        <f>"[Scope " &amp; Activities!$A$21 &amp; "] " &amp; Activities!$B$21 &amp; " | " &amp; Activities!$C$21 &amp; " | " &amp; Activities!$D$21</f>
        <v>[Scope 1] Mobile combusion | Diesel | Diesel - Forklifts</v>
      </c>
      <c r="B21" s="3">
        <f>Activities!$F$21</f>
        <v>180000</v>
      </c>
      <c r="C21" s="3" t="str">
        <f>Activities!$G$21</f>
        <v>L diesel</v>
      </c>
      <c r="D21" s="16">
        <f>VLOOKUP(Activities!K21,Lookups!$A:$C,2,FALSE)</f>
        <v>0.05</v>
      </c>
      <c r="E21" s="3">
        <f>Activities!M21</f>
        <v>2.68</v>
      </c>
      <c r="F21" s="3" t="str">
        <f>Activities!$I$21</f>
        <v>kg CO2e/L</v>
      </c>
      <c r="G21" s="16">
        <f>VLOOKUP(Activities!L21,Lookups!$E:$G,2,FALSE)</f>
        <v>0.3</v>
      </c>
      <c r="H21" s="3">
        <f t="shared" si="0"/>
        <v>482400</v>
      </c>
      <c r="I21" s="3">
        <f t="shared" si="1"/>
        <v>482.4</v>
      </c>
      <c r="J21" s="3">
        <f t="shared" si="2"/>
        <v>9000</v>
      </c>
      <c r="K21" s="3">
        <f t="shared" si="3"/>
        <v>0.80400000000000005</v>
      </c>
      <c r="L21" s="16">
        <f t="shared" si="4"/>
        <v>0.30413812651491096</v>
      </c>
      <c r="M21" s="3">
        <f t="shared" si="5"/>
        <v>21525.652799999989</v>
      </c>
    </row>
    <row r="22" spans="1:13" x14ac:dyDescent="0.3">
      <c r="A22" s="3" t="str">
        <f>"[Scope " &amp; Activities!$A$22 &amp; "] " &amp; Activities!$B$22 &amp; " | " &amp; Activities!$C$22 &amp; " | " &amp; Activities!$D$22</f>
        <v>[Scope 1] Mobile combusion | Diesel | Diesel - Fire vehicle</v>
      </c>
      <c r="B22" s="3">
        <f>Activities!$F$22</f>
        <v>20000</v>
      </c>
      <c r="C22" s="3" t="str">
        <f>Activities!$G$22</f>
        <v>L diesel</v>
      </c>
      <c r="D22" s="16">
        <f>VLOOKUP(Activities!K22,Lookups!$A:$C,2,FALSE)</f>
        <v>0.05</v>
      </c>
      <c r="E22" s="3">
        <f>Activities!M22</f>
        <v>2.68</v>
      </c>
      <c r="F22" s="3" t="str">
        <f>Activities!$I$22</f>
        <v>kg CO2e/L</v>
      </c>
      <c r="G22" s="16">
        <f>VLOOKUP(Activities!L22,Lookups!$E:$G,2,FALSE)</f>
        <v>0.3</v>
      </c>
      <c r="H22" s="3">
        <f t="shared" si="0"/>
        <v>53600</v>
      </c>
      <c r="I22" s="3">
        <f t="shared" si="1"/>
        <v>53.6</v>
      </c>
      <c r="J22" s="3">
        <f t="shared" si="2"/>
        <v>1000</v>
      </c>
      <c r="K22" s="3">
        <f t="shared" si="3"/>
        <v>0.80400000000000005</v>
      </c>
      <c r="L22" s="16">
        <f t="shared" si="4"/>
        <v>0.30413812651491096</v>
      </c>
      <c r="M22" s="3">
        <f t="shared" si="5"/>
        <v>265.74879999999996</v>
      </c>
    </row>
    <row r="23" spans="1:13" x14ac:dyDescent="0.3">
      <c r="A23" s="3" t="str">
        <f>"[Scope " &amp; Activities!$A$23 &amp; "] " &amp; Activities!$B$23 &amp; " | " &amp; Activities!$C$23 &amp; " | " &amp; Activities!$D$23</f>
        <v>[Scope 1] Mobile combusion | Diesel | Diesel - maintinance vehicles</v>
      </c>
      <c r="B23" s="3">
        <f>Activities!$F$23</f>
        <v>28500</v>
      </c>
      <c r="C23" s="3" t="str">
        <f>Activities!$G$23</f>
        <v>L diesel</v>
      </c>
      <c r="D23" s="16">
        <f>VLOOKUP(Activities!K23,Lookups!$A:$C,2,FALSE)</f>
        <v>0.05</v>
      </c>
      <c r="E23" s="3">
        <f>Activities!M23</f>
        <v>2.68</v>
      </c>
      <c r="F23" s="3" t="str">
        <f>Activities!$I$23</f>
        <v>kg CO2e/L</v>
      </c>
      <c r="G23" s="16">
        <f>VLOOKUP(Activities!L23,Lookups!$E:$G,2,FALSE)</f>
        <v>0.3</v>
      </c>
      <c r="H23" s="3">
        <f t="shared" si="0"/>
        <v>76380</v>
      </c>
      <c r="I23" s="3">
        <f t="shared" si="1"/>
        <v>76.38</v>
      </c>
      <c r="J23" s="3">
        <f t="shared" si="2"/>
        <v>1425</v>
      </c>
      <c r="K23" s="3">
        <f t="shared" si="3"/>
        <v>0.80400000000000005</v>
      </c>
      <c r="L23" s="16">
        <f t="shared" si="4"/>
        <v>0.30413812651491096</v>
      </c>
      <c r="M23" s="3">
        <f t="shared" si="5"/>
        <v>539.63615699999991</v>
      </c>
    </row>
    <row r="24" spans="1:13" x14ac:dyDescent="0.3">
      <c r="A24" s="3" t="str">
        <f>"[Scope " &amp; Activities!$A$24 &amp; "] " &amp; Activities!$B$24 &amp; " | " &amp; Activities!$C$24 &amp; " | " &amp; Activities!$D$24</f>
        <v>[Scope 1] Mobile combusion | Diesel | Diesel - shuttle/Bus movements</v>
      </c>
      <c r="B24" s="3">
        <f>Activities!$F$24</f>
        <v>29000</v>
      </c>
      <c r="C24" s="3" t="str">
        <f>Activities!$G$24</f>
        <v>L diesel</v>
      </c>
      <c r="D24" s="16">
        <f>VLOOKUP(Activities!K24,Lookups!$A:$C,2,FALSE)</f>
        <v>0.05</v>
      </c>
      <c r="E24" s="3">
        <f>Activities!M24</f>
        <v>2.68</v>
      </c>
      <c r="F24" s="3" t="str">
        <f>Activities!$I$24</f>
        <v>kg CO2e/L</v>
      </c>
      <c r="G24" s="16">
        <f>VLOOKUP(Activities!L24,Lookups!$E:$G,2,FALSE)</f>
        <v>0.3</v>
      </c>
      <c r="H24" s="3">
        <f t="shared" si="0"/>
        <v>77720</v>
      </c>
      <c r="I24" s="3">
        <f t="shared" si="1"/>
        <v>77.72</v>
      </c>
      <c r="J24" s="3">
        <f t="shared" si="2"/>
        <v>1450</v>
      </c>
      <c r="K24" s="3">
        <f t="shared" si="3"/>
        <v>0.80400000000000005</v>
      </c>
      <c r="L24" s="16">
        <f t="shared" si="4"/>
        <v>0.30413812651491096</v>
      </c>
      <c r="M24" s="3">
        <f t="shared" si="5"/>
        <v>558.73685199999977</v>
      </c>
    </row>
    <row r="25" spans="1:13" x14ac:dyDescent="0.3">
      <c r="A25" s="3" t="str">
        <f>"[Scope " &amp; Activities!$A$25 &amp; "] " &amp; Activities!$B$25 &amp; " | " &amp; Activities!$C$25 &amp; " | " &amp; Activities!$D$25</f>
        <v>[Scope 1] Fugitive emissions | Storage tanks breathing &amp; working losses | Storage tanks breathing &amp; working losses - Crude Tanks</v>
      </c>
      <c r="B25" s="3">
        <f>Activities!$F$25</f>
        <v>8124251</v>
      </c>
      <c r="C25" s="3" t="str">
        <f>Activities!$G$25</f>
        <v>m3 throughput</v>
      </c>
      <c r="D25" s="16">
        <f>VLOOKUP(Activities!K25,Lookups!$A:$C,2,FALSE)</f>
        <v>0.05</v>
      </c>
      <c r="E25" s="3">
        <f>Activities!M25</f>
        <v>0.15</v>
      </c>
      <c r="F25" s="3" t="str">
        <f>Activities!$I$25</f>
        <v>kg CO2e/m3</v>
      </c>
      <c r="G25" s="16">
        <f>VLOOKUP(Activities!L25,Lookups!$E:$G,2,FALSE)</f>
        <v>0.3</v>
      </c>
      <c r="H25" s="3">
        <f t="shared" si="0"/>
        <v>1218637.6499999999</v>
      </c>
      <c r="I25" s="3">
        <f t="shared" si="1"/>
        <v>1218.6376499999999</v>
      </c>
      <c r="J25" s="3">
        <f t="shared" si="2"/>
        <v>406212.55000000005</v>
      </c>
      <c r="K25" s="3">
        <f t="shared" si="3"/>
        <v>4.4999999999999998E-2</v>
      </c>
      <c r="L25" s="16">
        <f t="shared" si="4"/>
        <v>0.30413812651491096</v>
      </c>
      <c r="M25" s="3">
        <f t="shared" si="5"/>
        <v>137369.68928477081</v>
      </c>
    </row>
    <row r="26" spans="1:13" x14ac:dyDescent="0.3">
      <c r="A26" s="3" t="str">
        <f>"[Scope " &amp; Activities!$A$26 &amp; "] " &amp; Activities!$B$26 &amp; " | " &amp; Activities!$C$26 &amp; " | " &amp; Activities!$D$26</f>
        <v>[Scope 1] Fugitive emissions | Storage tanks breathing &amp; working losses | Storage tanks breathing &amp; working losses - LPG tanks</v>
      </c>
      <c r="B26" s="3">
        <f>Activities!$F$26</f>
        <v>406213</v>
      </c>
      <c r="C26" s="3" t="str">
        <f>Activities!$G$26</f>
        <v>m3 throughput</v>
      </c>
      <c r="D26" s="16">
        <f>VLOOKUP(Activities!K26,Lookups!$A:$C,2,FALSE)</f>
        <v>0.05</v>
      </c>
      <c r="E26" s="3">
        <f>Activities!M26</f>
        <v>0.15</v>
      </c>
      <c r="F26" s="3" t="str">
        <f>Activities!$I$26</f>
        <v>kg CO2e/m3</v>
      </c>
      <c r="G26" s="16">
        <f>VLOOKUP(Activities!L26,Lookups!$E:$G,2,FALSE)</f>
        <v>0.3</v>
      </c>
      <c r="H26" s="3">
        <f t="shared" si="0"/>
        <v>60931.95</v>
      </c>
      <c r="I26" s="3">
        <f t="shared" si="1"/>
        <v>60.931950000000001</v>
      </c>
      <c r="J26" s="3">
        <f t="shared" si="2"/>
        <v>20310.650000000001</v>
      </c>
      <c r="K26" s="3">
        <f t="shared" si="3"/>
        <v>4.4999999999999998E-2</v>
      </c>
      <c r="L26" s="16">
        <f t="shared" si="4"/>
        <v>0.30413812651491096</v>
      </c>
      <c r="M26" s="3">
        <f t="shared" si="5"/>
        <v>343.42498409923127</v>
      </c>
    </row>
    <row r="27" spans="1:13" x14ac:dyDescent="0.3">
      <c r="A27" s="3" t="str">
        <f>"[Scope " &amp; Activities!$A$27 &amp; "] " &amp; Activities!$B$27 &amp; " | " &amp; Activities!$C$27 &amp; " | " &amp; Activities!$D$27</f>
        <v>[Scope 1] Fugitive emissions | Storage tanks breathing &amp; working losses | Storage tanks breathing &amp; working losses - Naphtha Tanks</v>
      </c>
      <c r="B27" s="3">
        <f>Activities!$F$27</f>
        <v>2031063</v>
      </c>
      <c r="C27" s="3" t="str">
        <f>Activities!$G$27</f>
        <v>m3 throughput</v>
      </c>
      <c r="D27" s="16">
        <f>VLOOKUP(Activities!K27,Lookups!$A:$C,2,FALSE)</f>
        <v>0.05</v>
      </c>
      <c r="E27" s="3">
        <f>Activities!M27</f>
        <v>0.15</v>
      </c>
      <c r="F27" s="3" t="str">
        <f>Activities!$I$27</f>
        <v>kg CO2e/m3</v>
      </c>
      <c r="G27" s="16">
        <f>VLOOKUP(Activities!L27,Lookups!$E:$G,2,FALSE)</f>
        <v>0.3</v>
      </c>
      <c r="H27" s="3">
        <f t="shared" si="0"/>
        <v>304659.45</v>
      </c>
      <c r="I27" s="3">
        <f t="shared" si="1"/>
        <v>304.65944999999999</v>
      </c>
      <c r="J27" s="3">
        <f t="shared" si="2"/>
        <v>101553.15000000001</v>
      </c>
      <c r="K27" s="3">
        <f t="shared" si="3"/>
        <v>4.4999999999999998E-2</v>
      </c>
      <c r="L27" s="16">
        <f t="shared" si="4"/>
        <v>0.30413812651491096</v>
      </c>
      <c r="M27" s="3">
        <f t="shared" si="5"/>
        <v>8585.6076938729802</v>
      </c>
    </row>
    <row r="28" spans="1:13" x14ac:dyDescent="0.3">
      <c r="A28" s="3" t="str">
        <f>"[Scope " &amp; Activities!$A$28 &amp; "] " &amp; Activities!$B$28 &amp; " | " &amp; Activities!$C$28 &amp; " | " &amp; Activities!$D$28</f>
        <v>[Scope 1] Fugitive emissions | Storage tanks breathing &amp; working losses | Storage tanks breathing &amp; working losses - Kerosene Tanks</v>
      </c>
      <c r="B28" s="3">
        <f>Activities!$F$28</f>
        <v>812425</v>
      </c>
      <c r="C28" s="3" t="str">
        <f>Activities!$G$28</f>
        <v>m3 throughput</v>
      </c>
      <c r="D28" s="16">
        <f>VLOOKUP(Activities!K28,Lookups!$A:$C,2,FALSE)</f>
        <v>0.05</v>
      </c>
      <c r="E28" s="3">
        <f>Activities!M28</f>
        <v>0.15</v>
      </c>
      <c r="F28" s="3" t="str">
        <f>Activities!$I$28</f>
        <v>kg CO2e/m3</v>
      </c>
      <c r="G28" s="16">
        <f>VLOOKUP(Activities!L28,Lookups!$E:$G,2,FALSE)</f>
        <v>0.3</v>
      </c>
      <c r="H28" s="3">
        <f t="shared" si="0"/>
        <v>121863.75</v>
      </c>
      <c r="I28" s="3">
        <f t="shared" si="1"/>
        <v>121.86375</v>
      </c>
      <c r="J28" s="3">
        <f t="shared" si="2"/>
        <v>40621.25</v>
      </c>
      <c r="K28" s="3">
        <f t="shared" si="3"/>
        <v>4.4999999999999998E-2</v>
      </c>
      <c r="L28" s="16">
        <f t="shared" si="4"/>
        <v>0.30413812651491096</v>
      </c>
      <c r="M28" s="3">
        <f t="shared" si="5"/>
        <v>1373.696554675781</v>
      </c>
    </row>
    <row r="29" spans="1:13" x14ac:dyDescent="0.3">
      <c r="A29" s="3" t="str">
        <f>"[Scope " &amp; Activities!$A$29 &amp; "] " &amp; Activities!$B$29 &amp; " | " &amp; Activities!$C$29 &amp; " | " &amp; Activities!$D$29</f>
        <v>[Scope 1] Fugitive emissions | Storage tanks breathing &amp; working losses | Storage tanks breathing &amp; working losses - Diesel Tanks</v>
      </c>
      <c r="B29" s="3">
        <f>Activities!$F$29</f>
        <v>2843488</v>
      </c>
      <c r="C29" s="3" t="str">
        <f>Activities!$G$29</f>
        <v>m3 throughput</v>
      </c>
      <c r="D29" s="16">
        <f>VLOOKUP(Activities!K29,Lookups!$A:$C,2,FALSE)</f>
        <v>0.05</v>
      </c>
      <c r="E29" s="3">
        <f>Activities!M29</f>
        <v>0.15</v>
      </c>
      <c r="F29" s="3" t="str">
        <f>Activities!$I$29</f>
        <v>kg CO2e/m3</v>
      </c>
      <c r="G29" s="16">
        <f>VLOOKUP(Activities!L29,Lookups!$E:$G,2,FALSE)</f>
        <v>0.3</v>
      </c>
      <c r="H29" s="3">
        <f t="shared" si="0"/>
        <v>426523.2</v>
      </c>
      <c r="I29" s="3">
        <f t="shared" si="1"/>
        <v>426.52320000000003</v>
      </c>
      <c r="J29" s="3">
        <f t="shared" si="2"/>
        <v>142174.39999999999</v>
      </c>
      <c r="K29" s="3">
        <f t="shared" si="3"/>
        <v>4.4999999999999998E-2</v>
      </c>
      <c r="L29" s="16">
        <f t="shared" si="4"/>
        <v>0.30413812651491096</v>
      </c>
      <c r="M29" s="3">
        <f t="shared" si="5"/>
        <v>16827.788712787195</v>
      </c>
    </row>
    <row r="30" spans="1:13" x14ac:dyDescent="0.3">
      <c r="A30" s="3" t="str">
        <f>"[Scope " &amp; Activities!$A$30 &amp; "] " &amp; Activities!$B$30 &amp; " | " &amp; Activities!$C$30 &amp; " | " &amp; Activities!$D$30</f>
        <v>[Scope 1] Fugitive emissions | Product loading/unloading | Product loading/unloading</v>
      </c>
      <c r="B30" s="3">
        <f>Activities!$F$30</f>
        <v>6336916</v>
      </c>
      <c r="C30" s="3" t="str">
        <f>Activities!$G$30</f>
        <v>m3 loaded</v>
      </c>
      <c r="D30" s="16">
        <f>VLOOKUP(Activities!K30,Lookups!$A:$C,2,FALSE)</f>
        <v>0.05</v>
      </c>
      <c r="E30" s="3">
        <f>Activities!M30</f>
        <v>0.12</v>
      </c>
      <c r="F30" s="3" t="str">
        <f>Activities!$I$30</f>
        <v>kg CO2e/m3</v>
      </c>
      <c r="G30" s="16">
        <f>VLOOKUP(Activities!L30,Lookups!$E:$G,2,FALSE)</f>
        <v>0.3</v>
      </c>
      <c r="H30" s="3">
        <f t="shared" si="0"/>
        <v>760429.91999999993</v>
      </c>
      <c r="I30" s="3">
        <f t="shared" si="1"/>
        <v>760.42991999999992</v>
      </c>
      <c r="J30" s="3">
        <f t="shared" si="2"/>
        <v>316845.80000000005</v>
      </c>
      <c r="K30" s="3">
        <f t="shared" si="3"/>
        <v>3.5999999999999997E-2</v>
      </c>
      <c r="L30" s="16">
        <f t="shared" si="4"/>
        <v>0.30413812651491096</v>
      </c>
      <c r="M30" s="3">
        <f t="shared" si="5"/>
        <v>53488.463848886568</v>
      </c>
    </row>
    <row r="31" spans="1:13" x14ac:dyDescent="0.3">
      <c r="A31" s="3" t="str">
        <f>"[Scope " &amp; Activities!$A$31 &amp; "] " &amp; Activities!$B$31 &amp; " | " &amp; Activities!$C$31 &amp; " | " &amp; Activities!$D$31</f>
        <v>[Scope 1] Fugitive emissions | Fire extinguishers | Fire extinguishers</v>
      </c>
      <c r="B31" s="3">
        <f>Activities!$F$31</f>
        <v>200</v>
      </c>
      <c r="C31" s="3" t="str">
        <f>Activities!$G$31</f>
        <v>kg CO2</v>
      </c>
      <c r="D31" s="16">
        <f>VLOOKUP(Activities!K31,Lookups!$A:$C,2,FALSE)</f>
        <v>0.05</v>
      </c>
      <c r="E31" s="3">
        <f>Activities!M31</f>
        <v>1</v>
      </c>
      <c r="F31" s="3" t="str">
        <f>Activities!$I$31</f>
        <v>kg CO2e/kg CO2</v>
      </c>
      <c r="G31" s="16">
        <f>VLOOKUP(Activities!L31,Lookups!$E:$G,2,FALSE)</f>
        <v>0.3</v>
      </c>
      <c r="H31" s="3">
        <f t="shared" si="0"/>
        <v>200</v>
      </c>
      <c r="I31" s="3">
        <f t="shared" si="1"/>
        <v>0.2</v>
      </c>
      <c r="J31" s="3">
        <f t="shared" si="2"/>
        <v>10</v>
      </c>
      <c r="K31" s="3">
        <f t="shared" si="3"/>
        <v>0.3</v>
      </c>
      <c r="L31" s="16">
        <f t="shared" si="4"/>
        <v>0.30413812651491096</v>
      </c>
      <c r="M31" s="3">
        <f t="shared" si="5"/>
        <v>3.6999999999999993E-3</v>
      </c>
    </row>
    <row r="32" spans="1:13" x14ac:dyDescent="0.3">
      <c r="A32" s="3" t="str">
        <f>"[Scope " &amp; Activities!$A$32 &amp; "] " &amp; Activities!$B$32 &amp; " | " &amp; Activities!$C$32 &amp; " | " &amp; Activities!$D$32</f>
        <v>[Scope 1] Fugitive emissions | Refrigerant leaks | Refrigerant leaks - R-134a</v>
      </c>
      <c r="B32" s="3">
        <f>Activities!$F$32</f>
        <v>45</v>
      </c>
      <c r="C32" s="3" t="str">
        <f>Activities!$G$32</f>
        <v>kg refrigerant</v>
      </c>
      <c r="D32" s="16">
        <f>VLOOKUP(Activities!K32,Lookups!$A:$C,2,FALSE)</f>
        <v>0.05</v>
      </c>
      <c r="E32" s="3">
        <f>Activities!H32</f>
        <v>1.3</v>
      </c>
      <c r="F32" s="3" t="str">
        <f>Activities!$I$32</f>
        <v>tCO2e/kg refrigerant</v>
      </c>
      <c r="G32" s="16">
        <f>VLOOKUP(Activities!L32,Lookups!$E:$G,2,FALSE)</f>
        <v>0.3</v>
      </c>
      <c r="H32" s="3">
        <f t="shared" si="0"/>
        <v>58.5</v>
      </c>
      <c r="I32" s="3">
        <f t="shared" si="1"/>
        <v>5.8500000000000003E-2</v>
      </c>
      <c r="J32" s="3">
        <f t="shared" si="2"/>
        <v>2.25</v>
      </c>
      <c r="K32" s="3">
        <f t="shared" si="3"/>
        <v>0.39</v>
      </c>
      <c r="L32" s="16">
        <f t="shared" si="4"/>
        <v>0.30413812651491096</v>
      </c>
      <c r="M32" s="3">
        <f t="shared" si="5"/>
        <v>3.1655812500000003E-4</v>
      </c>
    </row>
    <row r="33" spans="1:13" x14ac:dyDescent="0.3">
      <c r="A33" s="3" t="str">
        <f>"[Scope " &amp; Activities!$A$33 &amp; "] " &amp; Activities!$B$33 &amp; " | " &amp; Activities!$C$33 &amp; " | " &amp; Activities!$D$33</f>
        <v>[Scope 1] Fugitive emissions | Refrigerant leaks | Refrigerant leaks - R-410a</v>
      </c>
      <c r="B33" s="3">
        <f>Activities!$F$33</f>
        <v>60</v>
      </c>
      <c r="C33" s="3" t="str">
        <f>Activities!$G$33</f>
        <v>kg refrigerant</v>
      </c>
      <c r="D33" s="16">
        <f>VLOOKUP(Activities!K33,Lookups!$A:$C,2,FALSE)</f>
        <v>0.05</v>
      </c>
      <c r="E33" s="3">
        <f>Activities!H33</f>
        <v>1.9235</v>
      </c>
      <c r="F33" s="3" t="str">
        <f>Activities!$I$33</f>
        <v>tCO2e/kg refrigerant</v>
      </c>
      <c r="G33" s="16">
        <f>VLOOKUP(Activities!L33,Lookups!$E:$G,2,FALSE)</f>
        <v>0.3</v>
      </c>
      <c r="H33" s="3">
        <f t="shared" si="0"/>
        <v>115.41</v>
      </c>
      <c r="I33" s="3">
        <f t="shared" si="1"/>
        <v>0.11541</v>
      </c>
      <c r="J33" s="3">
        <f t="shared" si="2"/>
        <v>3</v>
      </c>
      <c r="K33" s="3">
        <f t="shared" si="3"/>
        <v>0.57704999999999995</v>
      </c>
      <c r="L33" s="16">
        <f t="shared" si="4"/>
        <v>0.30413812651491096</v>
      </c>
      <c r="M33" s="3">
        <f t="shared" si="5"/>
        <v>1.2320507992499999E-3</v>
      </c>
    </row>
    <row r="34" spans="1:13" x14ac:dyDescent="0.3">
      <c r="A34" s="3" t="str">
        <f>"[Scope " &amp; Activities!$A$34 &amp; "] " &amp; Activities!$B$34 &amp; " | " &amp; Activities!$C$34 &amp; " | " &amp; Activities!$D$34</f>
        <v>[Scope 1] Fugitive emissions | Refrigerant leaks | Refrigerant leaks - R-407c</v>
      </c>
      <c r="B34" s="3">
        <f>Activities!$F$34</f>
        <v>30</v>
      </c>
      <c r="C34" s="3" t="str">
        <f>Activities!$G$34</f>
        <v>kg refrigerant</v>
      </c>
      <c r="D34" s="16">
        <f>VLOOKUP(Activities!K34,Lookups!$A:$C,2,FALSE)</f>
        <v>0.05</v>
      </c>
      <c r="E34" s="3">
        <f>Activities!H34</f>
        <v>1.6242099999999999</v>
      </c>
      <c r="F34" s="3" t="str">
        <f>Activities!$I$34</f>
        <v>tCO2e/kg refrigerant</v>
      </c>
      <c r="G34" s="16">
        <f>VLOOKUP(Activities!L34,Lookups!$E:$G,2,FALSE)</f>
        <v>0.3</v>
      </c>
      <c r="H34" s="3">
        <f t="shared" si="0"/>
        <v>48.726299999999995</v>
      </c>
      <c r="I34" s="3">
        <f t="shared" si="1"/>
        <v>4.8726299999999993E-2</v>
      </c>
      <c r="J34" s="3">
        <f t="shared" si="2"/>
        <v>1.5</v>
      </c>
      <c r="K34" s="3">
        <f t="shared" si="3"/>
        <v>0.48726299999999995</v>
      </c>
      <c r="L34" s="16">
        <f t="shared" si="4"/>
        <v>0.30413812651491096</v>
      </c>
      <c r="M34" s="3">
        <f t="shared" si="5"/>
        <v>2.1961833883132493E-4</v>
      </c>
    </row>
    <row r="35" spans="1:13" x14ac:dyDescent="0.3">
      <c r="A35" s="3" t="str">
        <f>"[Scope " &amp; Activities!$A$35 &amp; "] " &amp; Activities!$B$35 &amp; " | " &amp; Activities!$C$35 &amp; " | " &amp; Activities!$D$35</f>
        <v>[Scope 1] Fugitive emissions | Refrigerant leaks | Refrigerant leaks - R-404a</v>
      </c>
      <c r="B35" s="3">
        <f>Activities!$F$35</f>
        <v>15</v>
      </c>
      <c r="C35" s="3" t="str">
        <f>Activities!$G$35</f>
        <v>kg refrigerant</v>
      </c>
      <c r="D35" s="16">
        <f>VLOOKUP(Activities!K35,Lookups!$A:$C,2,FALSE)</f>
        <v>0.05</v>
      </c>
      <c r="E35" s="3">
        <f>Activities!H35</f>
        <v>3.9428000000000001</v>
      </c>
      <c r="F35" s="3" t="str">
        <f>Activities!$I$35</f>
        <v>tCO2e/kg refrigerant</v>
      </c>
      <c r="G35" s="16">
        <f>VLOOKUP(Activities!L35,Lookups!$E:$G,2,FALSE)</f>
        <v>0.3</v>
      </c>
      <c r="H35" s="3">
        <f t="shared" si="0"/>
        <v>59.142000000000003</v>
      </c>
      <c r="I35" s="3">
        <f t="shared" si="1"/>
        <v>5.9142E-2</v>
      </c>
      <c r="J35" s="3">
        <f t="shared" si="2"/>
        <v>0.75</v>
      </c>
      <c r="K35" s="3">
        <f t="shared" si="3"/>
        <v>1.1828399999999999</v>
      </c>
      <c r="L35" s="16">
        <f t="shared" si="4"/>
        <v>0.30413812651491096</v>
      </c>
      <c r="M35" s="3">
        <f t="shared" si="5"/>
        <v>3.2354429516999998E-4</v>
      </c>
    </row>
    <row r="36" spans="1:13" x14ac:dyDescent="0.3">
      <c r="A36" s="3" t="str">
        <f>"[Scope " &amp; Activities!$A$36 &amp; "] " &amp; Activities!$B$36 &amp; " | " &amp; Activities!$C$36 &amp; " | " &amp; Activities!$D$36</f>
        <v>[Scope 1] Process Emission | Catalyst regeneration | Catalyst regeneration</v>
      </c>
      <c r="B36" s="3">
        <f>Activities!$F$36</f>
        <v>45000</v>
      </c>
      <c r="C36" s="3" t="str">
        <f>Activities!$G$36</f>
        <v>kg catalyst</v>
      </c>
      <c r="D36" s="16">
        <f>VLOOKUP(Activities!K36,Lookups!$A:$C,2,FALSE)</f>
        <v>0.3</v>
      </c>
      <c r="E36" s="3">
        <f>Activities!M36</f>
        <v>3.2</v>
      </c>
      <c r="F36" s="3" t="str">
        <f>Activities!$I$36</f>
        <v>kg CO2e/kg catalyst</v>
      </c>
      <c r="G36" s="16">
        <f>VLOOKUP(Activities!L36,Lookups!$E:$G,2,FALSE)</f>
        <v>0.05</v>
      </c>
      <c r="H36" s="3">
        <f t="shared" si="0"/>
        <v>144000</v>
      </c>
      <c r="I36" s="3">
        <f t="shared" si="1"/>
        <v>144</v>
      </c>
      <c r="J36" s="3">
        <f t="shared" si="2"/>
        <v>13500</v>
      </c>
      <c r="K36" s="3">
        <f t="shared" si="3"/>
        <v>0.16000000000000003</v>
      </c>
      <c r="L36" s="16">
        <f t="shared" si="4"/>
        <v>0.30413812651491096</v>
      </c>
      <c r="M36" s="3">
        <f t="shared" si="5"/>
        <v>1918.0799999999997</v>
      </c>
    </row>
    <row r="37" spans="1:13" x14ac:dyDescent="0.3">
      <c r="A37" s="3" t="str">
        <f>"[Scope " &amp; Activities!$A$37 &amp; "] " &amp; Activities!$B$37 &amp; " | " &amp; Activities!$C$37 &amp; " | " &amp; Activities!$D$37</f>
        <v xml:space="preserve">[Scope 1] Process Emission | Coke drum steaming out  | Coke drum steaming out </v>
      </c>
      <c r="B37" s="3">
        <f>Activities!$F$37</f>
        <v>30000</v>
      </c>
      <c r="C37" s="3" t="str">
        <f>Activities!$G$37</f>
        <v>tons coke</v>
      </c>
      <c r="D37" s="16">
        <f>VLOOKUP(Activities!K37,Lookups!$A:$C,2,FALSE)</f>
        <v>0.3</v>
      </c>
      <c r="E37" s="3">
        <f>Activities!M37</f>
        <v>1.5</v>
      </c>
      <c r="F37" s="3" t="str">
        <f>Activities!$I$37</f>
        <v>kg CO2e/ton coke</v>
      </c>
      <c r="G37" s="16">
        <f>VLOOKUP(Activities!L37,Lookups!$E:$G,2,FALSE)</f>
        <v>0.05</v>
      </c>
      <c r="H37" s="3">
        <f t="shared" si="0"/>
        <v>45000</v>
      </c>
      <c r="I37" s="3">
        <f t="shared" si="1"/>
        <v>45</v>
      </c>
      <c r="J37" s="3">
        <f t="shared" si="2"/>
        <v>9000</v>
      </c>
      <c r="K37" s="3">
        <f t="shared" si="3"/>
        <v>7.5000000000000011E-2</v>
      </c>
      <c r="L37" s="16">
        <f t="shared" si="4"/>
        <v>0.30413812651491096</v>
      </c>
      <c r="M37" s="3">
        <f t="shared" si="5"/>
        <v>187.31249999999997</v>
      </c>
    </row>
    <row r="38" spans="1:13" x14ac:dyDescent="0.3">
      <c r="A38" s="3" t="str">
        <f>"[Scope " &amp; Activities!$A$38 &amp; "] " &amp; Activities!$B$38 &amp; " | " &amp; Activities!$C$38 &amp; " | " &amp; Activities!$D$38</f>
        <v>[Scope 1] Process Emission | SRU process oxidation  | SRU process oxidation  - U_13</v>
      </c>
      <c r="B38" s="3">
        <f>Activities!$F$38</f>
        <v>27000</v>
      </c>
      <c r="C38" s="3" t="str">
        <f>Activities!$G$38</f>
        <v>tons sulfur</v>
      </c>
      <c r="D38" s="16">
        <f>VLOOKUP(Activities!K38,Lookups!$A:$C,2,FALSE)</f>
        <v>0.3</v>
      </c>
      <c r="E38" s="3">
        <f>Activities!M38</f>
        <v>0.35</v>
      </c>
      <c r="F38" s="3" t="str">
        <f>Activities!$I$38</f>
        <v>kg CO2e/ton sulfur</v>
      </c>
      <c r="G38" s="16">
        <f>VLOOKUP(Activities!L38,Lookups!$E:$G,2,FALSE)</f>
        <v>0.05</v>
      </c>
      <c r="H38" s="3">
        <f t="shared" si="0"/>
        <v>9450</v>
      </c>
      <c r="I38" s="3">
        <f t="shared" si="1"/>
        <v>9.4499999999999993</v>
      </c>
      <c r="J38" s="3">
        <f t="shared" si="2"/>
        <v>8100</v>
      </c>
      <c r="K38" s="3">
        <f t="shared" si="3"/>
        <v>1.7499999999999998E-2</v>
      </c>
      <c r="L38" s="16">
        <f t="shared" si="4"/>
        <v>0.30413812651491096</v>
      </c>
      <c r="M38" s="3">
        <f t="shared" si="5"/>
        <v>8.260481249999998</v>
      </c>
    </row>
    <row r="39" spans="1:13" x14ac:dyDescent="0.3">
      <c r="A39" s="3" t="str">
        <f>"[Scope " &amp; Activities!$A$39 &amp; "] " &amp; Activities!$B$39 &amp; " | " &amp; Activities!$C$39 &amp; " | " &amp; Activities!$D$39</f>
        <v>[Scope 1] Process Emission | SRU process oxidation  | SRU process oxidation  - U_22</v>
      </c>
      <c r="B39" s="3">
        <f>Activities!$F$39</f>
        <v>27500</v>
      </c>
      <c r="C39" s="3" t="str">
        <f>Activities!$G$39</f>
        <v>tons sulfur</v>
      </c>
      <c r="D39" s="16">
        <f>VLOOKUP(Activities!K39,Lookups!$A:$C,2,FALSE)</f>
        <v>0.3</v>
      </c>
      <c r="E39" s="3">
        <f>Activities!M39</f>
        <v>0.35</v>
      </c>
      <c r="F39" s="3" t="str">
        <f>Activities!$I$39</f>
        <v>kg CO2e/ton sulfur</v>
      </c>
      <c r="G39" s="16">
        <f>VLOOKUP(Activities!L39,Lookups!$E:$G,2,FALSE)</f>
        <v>0.05</v>
      </c>
      <c r="H39" s="3">
        <f t="shared" si="0"/>
        <v>9625</v>
      </c>
      <c r="I39" s="3">
        <f t="shared" si="1"/>
        <v>9.625</v>
      </c>
      <c r="J39" s="3">
        <f t="shared" si="2"/>
        <v>8250</v>
      </c>
      <c r="K39" s="3">
        <f t="shared" si="3"/>
        <v>1.7499999999999998E-2</v>
      </c>
      <c r="L39" s="16">
        <f t="shared" si="4"/>
        <v>0.30413812651491096</v>
      </c>
      <c r="M39" s="3">
        <f t="shared" si="5"/>
        <v>8.5692578124999965</v>
      </c>
    </row>
    <row r="40" spans="1:13" x14ac:dyDescent="0.3">
      <c r="A40" s="3" t="str">
        <f>"[Scope " &amp; Activities!$A$40 &amp; "] " &amp; Activities!$B$40 &amp; " | " &amp; Activities!$C$40 &amp; " | " &amp; Activities!$D$40</f>
        <v>[Scope 1] stationary combusion | Flare header reading | Flare header reading</v>
      </c>
      <c r="B40" s="3">
        <f>Activities!$F$40</f>
        <v>10000000</v>
      </c>
      <c r="C40" s="3" t="str">
        <f>Activities!$G$40</f>
        <v>Nm3</v>
      </c>
      <c r="D40" s="16">
        <f>VLOOKUP(Activities!K40,Lookups!$A:$C,2,FALSE)</f>
        <v>3.2000000000000001E-2</v>
      </c>
      <c r="E40" s="3">
        <f>Activities!M40</f>
        <v>2.1</v>
      </c>
      <c r="F40" s="3" t="str">
        <f>Activities!$I$40</f>
        <v>kg CO2e/Nm3</v>
      </c>
      <c r="G40" s="16">
        <f>VLOOKUP(Activities!L40,Lookups!$E:$G,2,FALSE)</f>
        <v>0.05</v>
      </c>
      <c r="H40" s="3">
        <f t="shared" si="0"/>
        <v>21000000</v>
      </c>
      <c r="I40" s="3">
        <f t="shared" si="1"/>
        <v>21000</v>
      </c>
      <c r="J40" s="3">
        <f t="shared" si="2"/>
        <v>320000</v>
      </c>
      <c r="K40" s="3">
        <f t="shared" si="3"/>
        <v>0.10500000000000001</v>
      </c>
      <c r="L40" s="16">
        <f t="shared" si="4"/>
        <v>5.9363288318623322E-2</v>
      </c>
      <c r="M40" s="3">
        <f t="shared" si="5"/>
        <v>1554084</v>
      </c>
    </row>
    <row r="41" spans="1:13" x14ac:dyDescent="0.3">
      <c r="A41" s="3" t="str">
        <f>"[Scope " &amp; Activities!$A$41 &amp; "] " &amp; Activities!$B$41 &amp; " | " &amp; Activities!$C$41 &amp; " | " &amp; Activities!$D$41</f>
        <v>[Scope 1] Fugitive emissions | Waste water unit CH4/N20 release | Waste water unit CH4/N20 release</v>
      </c>
      <c r="B41" s="3">
        <f>Activities!$F$41</f>
        <v>15330000</v>
      </c>
      <c r="C41" s="3" t="str">
        <f>Activities!$G$41</f>
        <v>m3 wastewater</v>
      </c>
      <c r="D41" s="16">
        <f>VLOOKUP(Activities!K41,Lookups!$A:$C,2,FALSE)</f>
        <v>0.3</v>
      </c>
      <c r="E41" s="3">
        <f>Activities!M41</f>
        <v>2.5000000000000001E-2</v>
      </c>
      <c r="F41" s="3" t="str">
        <f>Activities!$I$41</f>
        <v>kg CO2e/m3</v>
      </c>
      <c r="G41" s="16">
        <f>VLOOKUP(Activities!L41,Lookups!$E:$G,2,FALSE)</f>
        <v>0.3</v>
      </c>
      <c r="H41" s="3">
        <f t="shared" si="0"/>
        <v>383250</v>
      </c>
      <c r="I41" s="3">
        <f t="shared" si="1"/>
        <v>383.25</v>
      </c>
      <c r="J41" s="3">
        <f t="shared" si="2"/>
        <v>4599000</v>
      </c>
      <c r="K41" s="3">
        <f t="shared" si="3"/>
        <v>7.4999999999999997E-3</v>
      </c>
      <c r="L41" s="16">
        <f t="shared" si="4"/>
        <v>0.42426406871192851</v>
      </c>
      <c r="M41" s="3">
        <f t="shared" si="5"/>
        <v>26438.501250000005</v>
      </c>
    </row>
    <row r="42" spans="1:13" x14ac:dyDescent="0.3">
      <c r="A42" s="3" t="str">
        <f>"[Scope " &amp; Activities!$A$42 &amp; "] " &amp; Activities!$B$42 &amp; " | " &amp; Activities!$C$42 &amp; " | " &amp; Activities!$D$42</f>
        <v>[Scope 1] Process Emission | H2 production | H2 production - U_09 production</v>
      </c>
      <c r="B42" s="3">
        <f>Activities!$F$42</f>
        <v>101355372</v>
      </c>
      <c r="C42" s="3" t="str">
        <f>Activities!$G$42</f>
        <v>Nm3 H2</v>
      </c>
      <c r="D42" s="16">
        <f>VLOOKUP(Activities!K42,Lookups!$A:$C,2,FALSE)</f>
        <v>0.05</v>
      </c>
      <c r="E42" s="3">
        <f>Activities!M42</f>
        <v>0.98</v>
      </c>
      <c r="F42" s="3" t="str">
        <f>Activities!$I$42</f>
        <v>kg CO2e/Nm3 H2</v>
      </c>
      <c r="G42" s="16">
        <f>VLOOKUP(Activities!L42,Lookups!$E:$G,2,FALSE)</f>
        <v>0.3</v>
      </c>
      <c r="H42" s="3">
        <f t="shared" si="0"/>
        <v>99328264.560000002</v>
      </c>
      <c r="I42" s="3">
        <f t="shared" si="1"/>
        <v>99328.264559999996</v>
      </c>
      <c r="J42" s="3">
        <f t="shared" si="2"/>
        <v>5067768.6000000006</v>
      </c>
      <c r="K42" s="3">
        <f t="shared" si="3"/>
        <v>0.29399999999999998</v>
      </c>
      <c r="L42" s="16">
        <f t="shared" si="4"/>
        <v>0.30413812651491096</v>
      </c>
      <c r="M42" s="3">
        <f t="shared" si="5"/>
        <v>912614632.99637485</v>
      </c>
    </row>
    <row r="43" spans="1:13" x14ac:dyDescent="0.3">
      <c r="A43" s="3" t="str">
        <f>"[Scope " &amp; Activities!$A$43 &amp; "] " &amp; Activities!$B$43 &amp; " | " &amp; Activities!$C$43 &amp; " | " &amp; Activities!$D$43</f>
        <v>[Scope 1] Process Emission | H2 production | H2 production - U_21 production</v>
      </c>
      <c r="B43" s="3">
        <f>Activities!$F$43</f>
        <v>103044628</v>
      </c>
      <c r="C43" s="3" t="str">
        <f>Activities!$G$43</f>
        <v>Nm3 H2</v>
      </c>
      <c r="D43" s="16">
        <f>VLOOKUP(Activities!K43,Lookups!$A:$C,2,FALSE)</f>
        <v>0.05</v>
      </c>
      <c r="E43" s="3">
        <f>Activities!M43</f>
        <v>0.98</v>
      </c>
      <c r="F43" s="3" t="str">
        <f>Activities!$I$43</f>
        <v>kg CO2e/Nm3 H2</v>
      </c>
      <c r="G43" s="16">
        <f>VLOOKUP(Activities!L43,Lookups!$E:$G,2,FALSE)</f>
        <v>0.3</v>
      </c>
      <c r="H43" s="3">
        <f t="shared" si="0"/>
        <v>100983735.44</v>
      </c>
      <c r="I43" s="3">
        <f t="shared" si="1"/>
        <v>100983.73544</v>
      </c>
      <c r="J43" s="3">
        <f t="shared" si="2"/>
        <v>5152231.4000000004</v>
      </c>
      <c r="K43" s="3">
        <f t="shared" si="3"/>
        <v>0.29399999999999998</v>
      </c>
      <c r="L43" s="16">
        <f t="shared" si="4"/>
        <v>0.30413812651491096</v>
      </c>
      <c r="M43" s="3">
        <f t="shared" si="5"/>
        <v>943288621.16597176</v>
      </c>
    </row>
    <row r="46" spans="1:13" ht="15" customHeight="1" thickBot="1" x14ac:dyDescent="0.35"/>
    <row r="47" spans="1:13" x14ac:dyDescent="0.3">
      <c r="I47" s="4" t="s">
        <v>162</v>
      </c>
      <c r="J47" s="17">
        <f>IFERROR(SQRT(SUM(M2:M43))/SUM(I2:I43),0)</f>
        <v>2.2485236011048661E-2</v>
      </c>
      <c r="K47" s="5" t="s">
        <v>163</v>
      </c>
      <c r="L47" s="6">
        <f>$J47*SUM(I2:I43)</f>
        <v>63258.115230951975</v>
      </c>
    </row>
    <row r="48" spans="1:13" ht="15" customHeight="1" thickBot="1" x14ac:dyDescent="0.35">
      <c r="I48" s="9" t="s">
        <v>164</v>
      </c>
      <c r="J48" s="10">
        <f>SUM(I2:I43)</f>
        <v>2813317.8232983002</v>
      </c>
      <c r="K48" s="10"/>
      <c r="L48" s="1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C307-0DDB-448A-AD49-E4B87560505E}">
  <dimension ref="A1:M7"/>
  <sheetViews>
    <sheetView topLeftCell="B1" workbookViewId="0">
      <selection activeCell="I23" sqref="I23"/>
    </sheetView>
  </sheetViews>
  <sheetFormatPr defaultRowHeight="14.4" x14ac:dyDescent="0.3"/>
  <cols>
    <col min="1" max="1" width="110.33203125" bestFit="1" customWidth="1"/>
    <col min="2" max="2" width="11.33203125" bestFit="1" customWidth="1"/>
    <col min="3" max="3" width="13.77734375" bestFit="1" customWidth="1"/>
    <col min="4" max="4" width="9" bestFit="1" customWidth="1"/>
    <col min="5" max="5" width="13.88671875" bestFit="1" customWidth="1"/>
    <col min="6" max="6" width="19.44140625" bestFit="1" customWidth="1"/>
    <col min="7" max="7" width="8.5546875" bestFit="1" customWidth="1"/>
    <col min="8" max="8" width="14" bestFit="1" customWidth="1"/>
    <col min="9" max="9" width="19.6640625" bestFit="1" customWidth="1"/>
    <col min="10" max="10" width="11.88671875" bestFit="1" customWidth="1"/>
    <col min="11" max="11" width="18.5546875" bestFit="1" customWidth="1"/>
    <col min="12" max="12" width="20.6640625" bestFit="1" customWidth="1"/>
    <col min="13" max="13" width="13.21875" bestFit="1" customWidth="1"/>
  </cols>
  <sheetData>
    <row r="1" spans="1:13" x14ac:dyDescent="0.3">
      <c r="A1" s="3" t="s">
        <v>151</v>
      </c>
      <c r="B1" s="3" t="s">
        <v>152</v>
      </c>
      <c r="C1" s="3" t="s">
        <v>153</v>
      </c>
      <c r="D1" s="3" t="s">
        <v>154</v>
      </c>
      <c r="E1" s="3" t="s">
        <v>7</v>
      </c>
      <c r="F1" s="3" t="s">
        <v>8</v>
      </c>
      <c r="G1" s="3" t="s">
        <v>155</v>
      </c>
      <c r="H1" s="3" t="s">
        <v>156</v>
      </c>
      <c r="I1" s="3" t="s">
        <v>157</v>
      </c>
      <c r="J1" s="3" t="s">
        <v>158</v>
      </c>
      <c r="K1" s="3" t="s">
        <v>159</v>
      </c>
      <c r="L1" s="3" t="s">
        <v>160</v>
      </c>
      <c r="M1" s="3" t="s">
        <v>161</v>
      </c>
    </row>
    <row r="2" spans="1:13" x14ac:dyDescent="0.3">
      <c r="A2" s="3" t="str">
        <f>"[Scope " &amp; Activities!$A$44 &amp; "] " &amp; Activities!$B$44 &amp; " | " &amp; Activities!$C$44 &amp; " | " &amp; Activities!$D$44</f>
        <v>[Scope 2] Purchased electricity |  |  - Electricity from Midelec (main supply)</v>
      </c>
      <c r="B2" s="3">
        <f>Activities!$F$44</f>
        <v>357600</v>
      </c>
      <c r="C2" s="3" t="str">
        <f>Activities!$G$44</f>
        <v>MWh</v>
      </c>
      <c r="D2" s="16">
        <f>VLOOKUP(Activities!K44,Lookups!$A:$C,2,FALSE)</f>
        <v>0.05</v>
      </c>
      <c r="E2" s="3">
        <f>Activities!M44/1000</f>
        <v>0.55900000000000005</v>
      </c>
      <c r="F2" s="3" t="str">
        <f>Activities!$I$44</f>
        <v>tCO2e/MWh</v>
      </c>
      <c r="G2" s="16">
        <f>VLOOKUP(Activities!L44,Lookups!$E:$G,2,FALSE)</f>
        <v>0.05</v>
      </c>
      <c r="H2" s="3">
        <f t="shared" ref="H2" si="0">IF(ISNUMBER(SEARCH("kg",F2)),B2*E2,B2*E2*1000)</f>
        <v>199898400.00000003</v>
      </c>
      <c r="I2" s="3">
        <f t="shared" ref="I2" si="1">H2/1000</f>
        <v>199898.40000000002</v>
      </c>
      <c r="J2" s="3">
        <f t="shared" ref="J2" si="2">B2*D2</f>
        <v>17880</v>
      </c>
      <c r="K2" s="3">
        <f t="shared" ref="K2" si="3">E2*G2</f>
        <v>2.7950000000000003E-2</v>
      </c>
      <c r="L2" s="16">
        <f t="shared" ref="L2" si="4">SQRT(D2^2+G2^2)</f>
        <v>7.0710678118654766E-2</v>
      </c>
      <c r="M2" s="3">
        <f t="shared" ref="M2" si="5">(L2*I2)^2</f>
        <v>199796851.61280012</v>
      </c>
    </row>
    <row r="5" spans="1:13" ht="15" customHeight="1" thickBot="1" x14ac:dyDescent="0.35"/>
    <row r="6" spans="1:13" x14ac:dyDescent="0.3">
      <c r="I6" s="4" t="s">
        <v>162</v>
      </c>
      <c r="J6" s="17">
        <f>IFERROR(SQRT(SUM(M2:M2))/SUM(I2:I2),0)</f>
        <v>7.0710678118654766E-2</v>
      </c>
      <c r="K6" s="5" t="s">
        <v>163</v>
      </c>
      <c r="L6" s="6">
        <f>$J6*SUM(I2:I2)</f>
        <v>14134.9514188341</v>
      </c>
    </row>
    <row r="7" spans="1:13" ht="15" customHeight="1" thickBot="1" x14ac:dyDescent="0.35">
      <c r="I7" s="9" t="s">
        <v>164</v>
      </c>
      <c r="J7" s="10">
        <f>SUM(I2:I2)</f>
        <v>199898.40000000002</v>
      </c>
      <c r="K7" s="10"/>
      <c r="L7" s="1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7715F-B373-4964-B10F-1CB44026401A}">
  <dimension ref="A1:M13"/>
  <sheetViews>
    <sheetView topLeftCell="B1" workbookViewId="0">
      <selection activeCell="I19" sqref="I19"/>
    </sheetView>
  </sheetViews>
  <sheetFormatPr defaultRowHeight="14.4" x14ac:dyDescent="0.3"/>
  <cols>
    <col min="1" max="1" width="110.33203125" bestFit="1" customWidth="1"/>
    <col min="2" max="2" width="11.33203125" bestFit="1" customWidth="1"/>
    <col min="3" max="3" width="13.77734375" bestFit="1" customWidth="1"/>
    <col min="4" max="4" width="9" bestFit="1" customWidth="1"/>
    <col min="5" max="5" width="13.88671875" bestFit="1" customWidth="1"/>
    <col min="6" max="6" width="19.44140625" bestFit="1" customWidth="1"/>
    <col min="7" max="7" width="8.5546875" bestFit="1" customWidth="1"/>
    <col min="8" max="8" width="14" bestFit="1" customWidth="1"/>
    <col min="9" max="9" width="19.6640625" bestFit="1" customWidth="1"/>
    <col min="10" max="10" width="11.88671875" bestFit="1" customWidth="1"/>
    <col min="11" max="11" width="18.5546875" bestFit="1" customWidth="1"/>
    <col min="12" max="12" width="20.6640625" bestFit="1" customWidth="1"/>
    <col min="13" max="13" width="13.21875" bestFit="1" customWidth="1"/>
  </cols>
  <sheetData>
    <row r="1" spans="1:13" x14ac:dyDescent="0.3">
      <c r="A1" s="3" t="s">
        <v>151</v>
      </c>
      <c r="B1" s="3" t="s">
        <v>152</v>
      </c>
      <c r="C1" s="3" t="s">
        <v>153</v>
      </c>
      <c r="D1" s="3" t="s">
        <v>154</v>
      </c>
      <c r="E1" s="3" t="s">
        <v>7</v>
      </c>
      <c r="F1" s="3" t="s">
        <v>8</v>
      </c>
      <c r="G1" s="3" t="s">
        <v>155</v>
      </c>
      <c r="H1" s="3" t="s">
        <v>156</v>
      </c>
      <c r="I1" s="3" t="s">
        <v>157</v>
      </c>
      <c r="J1" s="3" t="s">
        <v>158</v>
      </c>
      <c r="K1" s="3" t="s">
        <v>159</v>
      </c>
      <c r="L1" s="3" t="s">
        <v>160</v>
      </c>
      <c r="M1" s="3" t="s">
        <v>161</v>
      </c>
    </row>
    <row r="2" spans="1:13" x14ac:dyDescent="0.3">
      <c r="A2" s="3" t="str">
        <f>"[Scope " &amp; Activities!$A$45 &amp; "] " &amp; Activities!$B$45 &amp; " | " &amp; Activities!$C$45 &amp; " | " &amp; Activities!$D$45</f>
        <v xml:space="preserve">[Scope 3] Employee comutee |  | </v>
      </c>
      <c r="B2" s="3">
        <f>Activities!$F$45</f>
        <v>4000</v>
      </c>
      <c r="C2" s="3" t="str">
        <f>Activities!$G$45</f>
        <v>employees</v>
      </c>
      <c r="D2" s="16">
        <f>VLOOKUP(Activities!K45,Lookups!$A:$C,2,FALSE)</f>
        <v>0.05</v>
      </c>
      <c r="E2" s="3">
        <f>Activities!M45/1000</f>
        <v>12</v>
      </c>
      <c r="F2" s="3" t="str">
        <f>Activities!$I$45</f>
        <v>tCO2e/employee/year</v>
      </c>
      <c r="G2" s="16">
        <f>VLOOKUP(Activities!L45,Lookups!$E:$G,2,FALSE)</f>
        <v>0.3</v>
      </c>
      <c r="H2" s="3">
        <f t="shared" ref="H2:H8" si="0">IF(ISNUMBER(SEARCH("kg",F2)),B2*E2,B2*E2*1000)</f>
        <v>48000000</v>
      </c>
      <c r="I2" s="3">
        <f t="shared" ref="I2:I8" si="1">H2/1000</f>
        <v>48000</v>
      </c>
      <c r="J2" s="3">
        <f t="shared" ref="J2:J8" si="2">B2*D2</f>
        <v>200</v>
      </c>
      <c r="K2" s="3">
        <f t="shared" ref="K2:K8" si="3">E2*G2</f>
        <v>3.5999999999999996</v>
      </c>
      <c r="L2" s="16">
        <f t="shared" ref="L2:L8" si="4">SQRT(D2^2+G2^2)</f>
        <v>0.30413812651491096</v>
      </c>
      <c r="M2" s="3">
        <f t="shared" ref="M2:M8" si="5">(L2*I2)^2</f>
        <v>213120000</v>
      </c>
    </row>
    <row r="3" spans="1:13" x14ac:dyDescent="0.3">
      <c r="A3" s="3" t="str">
        <f>"[Scope " &amp; Activities!$A$46 &amp; "] " &amp; Activities!$B$46 &amp; " | " &amp; Activities!$C$46 &amp; " | " &amp; Activities!$D$46</f>
        <v>[Scope 3] Use of Sold Products | Combustion of sold LPG | Combustion of sold LPG</v>
      </c>
      <c r="B3" s="3">
        <f>Activities!$F$46</f>
        <v>219355</v>
      </c>
      <c r="C3" s="3" t="str">
        <f>Activities!$G$46</f>
        <v>tons</v>
      </c>
      <c r="D3" s="16">
        <f>VLOOKUP(Activities!K46,Lookups!$A:$C,2,FALSE)</f>
        <v>0.05</v>
      </c>
      <c r="E3" s="3">
        <f>Activities!M46/1000</f>
        <v>3</v>
      </c>
      <c r="F3" s="3" t="str">
        <f>Activities!$I$46</f>
        <v>tCO2/ton</v>
      </c>
      <c r="G3" s="16">
        <f>VLOOKUP(Activities!L46,Lookups!$E:$G,2,FALSE)</f>
        <v>0.3</v>
      </c>
      <c r="H3" s="3">
        <f t="shared" si="0"/>
        <v>658065000</v>
      </c>
      <c r="I3" s="3">
        <f t="shared" si="1"/>
        <v>658065</v>
      </c>
      <c r="J3" s="3">
        <f t="shared" si="2"/>
        <v>10967.75</v>
      </c>
      <c r="K3" s="3">
        <f t="shared" si="3"/>
        <v>0.89999999999999991</v>
      </c>
      <c r="L3" s="16">
        <f t="shared" si="4"/>
        <v>0.30413812651491096</v>
      </c>
      <c r="M3" s="3">
        <f t="shared" si="5"/>
        <v>40057082840.812492</v>
      </c>
    </row>
    <row r="4" spans="1:13" x14ac:dyDescent="0.3">
      <c r="A4" s="3" t="str">
        <f>"[Scope " &amp; Activities!$A$47 &amp; "] " &amp; Activities!$B$47 &amp; " | " &amp; Activities!$C$47 &amp; " | " &amp; Activities!$D$47</f>
        <v>[Scope 3] Use of Sold Products | Combustion of sold gasoline | Combustion of sold gasoline</v>
      </c>
      <c r="B4" s="3">
        <f>Activities!$F$47</f>
        <v>1502986</v>
      </c>
      <c r="C4" s="3" t="str">
        <f>Activities!$G$47</f>
        <v>tons</v>
      </c>
      <c r="D4" s="16">
        <f>VLOOKUP(Activities!K47,Lookups!$A:$C,2,FALSE)</f>
        <v>0.05</v>
      </c>
      <c r="E4" s="3">
        <f>Activities!M47/1000</f>
        <v>3.15</v>
      </c>
      <c r="F4" s="3" t="str">
        <f>Activities!$I$47</f>
        <v>tCO2/ton</v>
      </c>
      <c r="G4" s="16">
        <f>VLOOKUP(Activities!L47,Lookups!$E:$G,2,FALSE)</f>
        <v>0.3</v>
      </c>
      <c r="H4" s="3">
        <f t="shared" si="0"/>
        <v>4734405899.999999</v>
      </c>
      <c r="I4" s="3">
        <f t="shared" si="1"/>
        <v>4734405.8999999994</v>
      </c>
      <c r="J4" s="3">
        <f t="shared" si="2"/>
        <v>75149.3</v>
      </c>
      <c r="K4" s="3">
        <f t="shared" si="3"/>
        <v>0.94499999999999995</v>
      </c>
      <c r="L4" s="16">
        <f t="shared" si="4"/>
        <v>0.30413812651491096</v>
      </c>
      <c r="M4" s="3">
        <f t="shared" si="5"/>
        <v>2073350428400.8193</v>
      </c>
    </row>
    <row r="5" spans="1:13" x14ac:dyDescent="0.3">
      <c r="A5" s="3" t="str">
        <f>"[Scope " &amp; Activities!$A$48 &amp; "] " &amp; Activities!$B$48 &amp; " | " &amp; Activities!$C$48 &amp; " | " &amp; Activities!$D$48</f>
        <v>[Scope 3] Use of Sold Products | Combustion of sold diesel/gasoil | Combustion of sold diesel/gasoil</v>
      </c>
      <c r="B5" s="3">
        <f>Activities!$F$48</f>
        <v>2388530</v>
      </c>
      <c r="C5" s="3" t="str">
        <f>Activities!$G$48</f>
        <v>tons</v>
      </c>
      <c r="D5" s="16">
        <f>VLOOKUP(Activities!K48,Lookups!$A:$C,2,FALSE)</f>
        <v>0.05</v>
      </c>
      <c r="E5" s="3">
        <f>Activities!M48/1000</f>
        <v>3.17</v>
      </c>
      <c r="F5" s="3" t="str">
        <f>Activities!$I$48</f>
        <v>tCO2/ton</v>
      </c>
      <c r="G5" s="16">
        <f>VLOOKUP(Activities!L48,Lookups!$E:$G,2,FALSE)</f>
        <v>0.3</v>
      </c>
      <c r="H5" s="3">
        <f t="shared" si="0"/>
        <v>7571640100</v>
      </c>
      <c r="I5" s="3">
        <f t="shared" si="1"/>
        <v>7571640.0999999996</v>
      </c>
      <c r="J5" s="3">
        <f t="shared" si="2"/>
        <v>119426.5</v>
      </c>
      <c r="K5" s="3">
        <f t="shared" si="3"/>
        <v>0.95099999999999996</v>
      </c>
      <c r="L5" s="16">
        <f t="shared" si="4"/>
        <v>0.30413812651491096</v>
      </c>
      <c r="M5" s="3">
        <f t="shared" si="5"/>
        <v>5303000376863.3389</v>
      </c>
    </row>
    <row r="6" spans="1:13" x14ac:dyDescent="0.3">
      <c r="A6" s="3" t="str">
        <f>"[Scope " &amp; Activities!$A$49 &amp; "] " &amp; Activities!$B$49 &amp; " | " &amp; Activities!$C$49 &amp; " | " &amp; Activities!$D$49</f>
        <v>[Scope 3] Use of Sold Products | Combustion of sold jet fuel/kerosene | Combustion of sold jet fuel/kerosene</v>
      </c>
      <c r="B6" s="3">
        <f>Activities!$F$49</f>
        <v>649940</v>
      </c>
      <c r="C6" s="3" t="str">
        <f>Activities!$G$49</f>
        <v>tons</v>
      </c>
      <c r="D6" s="16">
        <f>VLOOKUP(Activities!K49,Lookups!$A:$C,2,FALSE)</f>
        <v>0.05</v>
      </c>
      <c r="E6" s="3">
        <f>Activities!M49/1000</f>
        <v>3.15</v>
      </c>
      <c r="F6" s="3" t="str">
        <f>Activities!$I$49</f>
        <v>tCO2/ton</v>
      </c>
      <c r="G6" s="16">
        <f>VLOOKUP(Activities!L49,Lookups!$E:$G,2,FALSE)</f>
        <v>0.3</v>
      </c>
      <c r="H6" s="3">
        <f t="shared" si="0"/>
        <v>2047311000</v>
      </c>
      <c r="I6" s="3">
        <f t="shared" si="1"/>
        <v>2047311</v>
      </c>
      <c r="J6" s="3">
        <f t="shared" si="2"/>
        <v>32497</v>
      </c>
      <c r="K6" s="3">
        <f t="shared" si="3"/>
        <v>0.94499999999999995</v>
      </c>
      <c r="L6" s="16">
        <f t="shared" si="4"/>
        <v>0.30413812651491096</v>
      </c>
      <c r="M6" s="3">
        <f t="shared" si="5"/>
        <v>387712115591.69238</v>
      </c>
    </row>
    <row r="7" spans="1:13" x14ac:dyDescent="0.3">
      <c r="A7" s="3" t="str">
        <f>"[Scope " &amp; Activities!$A$50 &amp; "] " &amp; Activities!$B$50 &amp; " | " &amp; Activities!$C$50 &amp; " | " &amp; Activities!$D$50</f>
        <v>[Scope 3] Use of Sold Products | Combustion of sold fuel oil | Combustion of sold fuel oil</v>
      </c>
      <c r="B7" s="3">
        <f>Activities!$F$50</f>
        <v>233978</v>
      </c>
      <c r="C7" s="3" t="str">
        <f>Activities!$G$50</f>
        <v>tons</v>
      </c>
      <c r="D7" s="16">
        <f>VLOOKUP(Activities!K50,Lookups!$A:$C,2,FALSE)</f>
        <v>0.05</v>
      </c>
      <c r="E7" s="3">
        <f>Activities!M50/1000</f>
        <v>3.11</v>
      </c>
      <c r="F7" s="3" t="str">
        <f>Activities!$I$50</f>
        <v>tCO2/ton</v>
      </c>
      <c r="G7" s="16">
        <f>VLOOKUP(Activities!L50,Lookups!$E:$G,2,FALSE)</f>
        <v>0.3</v>
      </c>
      <c r="H7" s="3">
        <f t="shared" si="0"/>
        <v>727671580</v>
      </c>
      <c r="I7" s="3">
        <f t="shared" si="1"/>
        <v>727671.58</v>
      </c>
      <c r="J7" s="3">
        <f t="shared" si="2"/>
        <v>11698.900000000001</v>
      </c>
      <c r="K7" s="3">
        <f t="shared" si="3"/>
        <v>0.93299999999999994</v>
      </c>
      <c r="L7" s="16">
        <f t="shared" si="4"/>
        <v>0.30413812651491096</v>
      </c>
      <c r="M7" s="3">
        <f t="shared" si="5"/>
        <v>48979298371.421898</v>
      </c>
    </row>
    <row r="8" spans="1:13" x14ac:dyDescent="0.3">
      <c r="A8" s="3" t="str">
        <f>"[Scope " &amp; Activities!$A$51 &amp; "] " &amp; Activities!$B$51 &amp; " | " &amp; Activities!$C$51 &amp; " | " &amp; Activities!$D$51</f>
        <v>[Scope 3] Use of Sold Products | Combustion of sold petroleum coke | Combustion of sold petroleum coke</v>
      </c>
      <c r="B8" s="3">
        <f>Activities!$F$51</f>
        <v>345281</v>
      </c>
      <c r="C8" s="3" t="str">
        <f>Activities!$G$51</f>
        <v>tons</v>
      </c>
      <c r="D8" s="16">
        <f>VLOOKUP(Activities!K51,Lookups!$A:$C,2,FALSE)</f>
        <v>0.3</v>
      </c>
      <c r="E8" s="3">
        <f>Activities!M51/1000</f>
        <v>3.3</v>
      </c>
      <c r="F8" s="3" t="str">
        <f>Activities!$I$51</f>
        <v>tCO2/ton</v>
      </c>
      <c r="G8" s="16">
        <f>VLOOKUP(Activities!L51,Lookups!$E:$G,2,FALSE)</f>
        <v>0.3</v>
      </c>
      <c r="H8" s="3">
        <f t="shared" si="0"/>
        <v>1139427300</v>
      </c>
      <c r="I8" s="3">
        <f t="shared" si="1"/>
        <v>1139427.3</v>
      </c>
      <c r="J8" s="3">
        <f t="shared" si="2"/>
        <v>103584.3</v>
      </c>
      <c r="K8" s="3">
        <f t="shared" si="3"/>
        <v>0.98999999999999988</v>
      </c>
      <c r="L8" s="16">
        <f t="shared" si="4"/>
        <v>0.42426406871192851</v>
      </c>
      <c r="M8" s="3">
        <f t="shared" si="5"/>
        <v>233693022957.3522</v>
      </c>
    </row>
    <row r="11" spans="1:13" ht="15" customHeight="1" thickBot="1" x14ac:dyDescent="0.35"/>
    <row r="12" spans="1:13" x14ac:dyDescent="0.3">
      <c r="I12" s="4" t="s">
        <v>162</v>
      </c>
      <c r="J12" s="17">
        <f>IFERROR(SQRT(SUM(M2:M8))/SUM(I2:I8),0)</f>
        <v>0.16800653172454127</v>
      </c>
      <c r="K12" s="5" t="s">
        <v>163</v>
      </c>
      <c r="L12" s="6">
        <f>$J12*SUM(I2:I8)</f>
        <v>2843766.0672118301</v>
      </c>
    </row>
    <row r="13" spans="1:13" ht="15" customHeight="1" thickBot="1" x14ac:dyDescent="0.35">
      <c r="I13" s="9" t="s">
        <v>164</v>
      </c>
      <c r="J13" s="10">
        <f>SUM(I2:I8)</f>
        <v>16926520.879999999</v>
      </c>
      <c r="K13" s="10"/>
      <c r="L13"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Activities</vt:lpstr>
      <vt:lpstr>Summary</vt:lpstr>
      <vt:lpstr>Lookups</vt:lpstr>
      <vt:lpstr>uncertainty_total</vt:lpstr>
      <vt:lpstr>uncertainty_Scope 1</vt:lpstr>
      <vt:lpstr>uncertainty_Scope 2</vt:lpstr>
      <vt:lpstr>uncertainty_Scope 3</vt:lpstr>
      <vt:lpstr>AD_list</vt:lpstr>
      <vt:lpstr>EF_List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Sabri</cp:lastModifiedBy>
  <dcterms:created xsi:type="dcterms:W3CDTF">2025-11-13T07:51:35Z</dcterms:created>
  <dcterms:modified xsi:type="dcterms:W3CDTF">2025-12-09T21:32:34Z</dcterms:modified>
</cp:coreProperties>
</file>